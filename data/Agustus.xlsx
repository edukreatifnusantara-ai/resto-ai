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arung\Laporan Stock\"/>
    </mc:Choice>
  </mc:AlternateContent>
  <xr:revisionPtr revIDLastSave="0" documentId="13_ncr:1_{D28F2D85-2A5F-4BB4-971A-9AD55B20C79B}" xr6:coauthVersionLast="47" xr6:coauthVersionMax="47" xr10:uidLastSave="{00000000-0000-0000-0000-000000000000}"/>
  <bookViews>
    <workbookView xWindow="-120" yWindow="-120" windowWidth="20730" windowHeight="11160" firstSheet="20" activeTab="27" xr2:uid="{00000000-000D-0000-FFFF-FFFF00000000}"/>
  </bookViews>
  <sheets>
    <sheet name="26.08.26" sheetId="1" r:id="rId1"/>
    <sheet name="27.08.26" sheetId="2" r:id="rId2"/>
    <sheet name="28.08.26" sheetId="3" r:id="rId3"/>
    <sheet name="29.08.26" sheetId="4" r:id="rId4"/>
    <sheet name="30.08.26" sheetId="5" r:id="rId5"/>
    <sheet name="01.09.26" sheetId="6" r:id="rId6"/>
    <sheet name="02.09.26" sheetId="7" r:id="rId7"/>
    <sheet name="03.09.26" sheetId="8" r:id="rId8"/>
    <sheet name="04.09.26" sheetId="9" r:id="rId9"/>
    <sheet name="05.09.26" sheetId="10" r:id="rId10"/>
    <sheet name="06.09.26" sheetId="11" r:id="rId11"/>
    <sheet name="07.09.26" sheetId="12" r:id="rId12"/>
    <sheet name="08.09.26" sheetId="13" r:id="rId13"/>
    <sheet name="09.09.26" sheetId="14" r:id="rId14"/>
    <sheet name="10.09.26" sheetId="15" r:id="rId15"/>
    <sheet name="11.09.26" sheetId="16" r:id="rId16"/>
    <sheet name="12.09.26" sheetId="17" r:id="rId17"/>
    <sheet name="13.09.26" sheetId="18" r:id="rId18"/>
    <sheet name="15.09.26" sheetId="19" r:id="rId19"/>
    <sheet name="16.09.26" sheetId="24" r:id="rId20"/>
    <sheet name="17.09.26" sheetId="25" r:id="rId21"/>
    <sheet name="18.09.26" sheetId="26" r:id="rId22"/>
    <sheet name="19.09.26" sheetId="27" r:id="rId23"/>
    <sheet name="20.09.26" sheetId="28" r:id="rId24"/>
    <sheet name="21.09.26" sheetId="29" r:id="rId25"/>
    <sheet name="22.09.26" sheetId="30" r:id="rId26"/>
    <sheet name="23.09.26" sheetId="31" r:id="rId27"/>
    <sheet name="24.09.26" sheetId="32" r:id="rId2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5" i="32" l="1"/>
  <c r="J106" i="32"/>
  <c r="J107" i="32"/>
  <c r="J120" i="32"/>
  <c r="I120" i="32"/>
  <c r="E120" i="32"/>
  <c r="G120" i="32" s="1"/>
  <c r="J119" i="32"/>
  <c r="I119" i="32"/>
  <c r="E119" i="32"/>
  <c r="G119" i="32" s="1"/>
  <c r="J118" i="32"/>
  <c r="I118" i="32"/>
  <c r="E118" i="32"/>
  <c r="G118" i="32" s="1"/>
  <c r="J117" i="32"/>
  <c r="I117" i="32"/>
  <c r="E117" i="32"/>
  <c r="G117" i="32" s="1"/>
  <c r="J116" i="32"/>
  <c r="I116" i="32"/>
  <c r="E116" i="32"/>
  <c r="G116" i="32" s="1"/>
  <c r="J115" i="32"/>
  <c r="I115" i="32"/>
  <c r="E115" i="32"/>
  <c r="G115" i="32" s="1"/>
  <c r="J114" i="32"/>
  <c r="I114" i="32"/>
  <c r="E114" i="32"/>
  <c r="G114" i="32" s="1"/>
  <c r="J113" i="32"/>
  <c r="I113" i="32"/>
  <c r="E113" i="32"/>
  <c r="G113" i="32" s="1"/>
  <c r="J112" i="32"/>
  <c r="I112" i="32"/>
  <c r="E112" i="32"/>
  <c r="G112" i="32" s="1"/>
  <c r="J111" i="32"/>
  <c r="I111" i="32"/>
  <c r="E111" i="32"/>
  <c r="G111" i="32" s="1"/>
  <c r="J110" i="32"/>
  <c r="I110" i="32"/>
  <c r="E110" i="32"/>
  <c r="G110" i="32" s="1"/>
  <c r="J109" i="32"/>
  <c r="I109" i="32"/>
  <c r="E109" i="32"/>
  <c r="G109" i="32" s="1"/>
  <c r="J108" i="32"/>
  <c r="I108" i="32"/>
  <c r="E108" i="32"/>
  <c r="G108" i="32" s="1"/>
  <c r="I107" i="32"/>
  <c r="E107" i="32"/>
  <c r="G107" i="32" s="1"/>
  <c r="I106" i="32"/>
  <c r="E106" i="32"/>
  <c r="G106" i="32" s="1"/>
  <c r="I105" i="32"/>
  <c r="E105" i="32"/>
  <c r="G105" i="32" s="1"/>
  <c r="J104" i="32"/>
  <c r="I104" i="32"/>
  <c r="E104" i="32"/>
  <c r="G104" i="32" s="1"/>
  <c r="J103" i="32"/>
  <c r="I103" i="32"/>
  <c r="E103" i="32"/>
  <c r="G103" i="32" s="1"/>
  <c r="J102" i="32"/>
  <c r="I102" i="32"/>
  <c r="E102" i="32"/>
  <c r="G102" i="32" s="1"/>
  <c r="J101" i="32"/>
  <c r="I101" i="32"/>
  <c r="E101" i="32"/>
  <c r="G101" i="32" s="1"/>
  <c r="J100" i="32"/>
  <c r="I100" i="32"/>
  <c r="E100" i="32"/>
  <c r="G100" i="32" s="1"/>
  <c r="J99" i="32"/>
  <c r="I99" i="32"/>
  <c r="E99" i="32"/>
  <c r="G99" i="32" s="1"/>
  <c r="J98" i="32"/>
  <c r="I98" i="32"/>
  <c r="E98" i="32"/>
  <c r="G98" i="32" s="1"/>
  <c r="J97" i="32"/>
  <c r="I97" i="32"/>
  <c r="E97" i="32"/>
  <c r="G97" i="32" s="1"/>
  <c r="J96" i="32"/>
  <c r="I96" i="32"/>
  <c r="E96" i="32"/>
  <c r="G96" i="32" s="1"/>
  <c r="J95" i="32"/>
  <c r="I95" i="32"/>
  <c r="E95" i="32"/>
  <c r="G95" i="32" s="1"/>
  <c r="J94" i="32"/>
  <c r="I94" i="32"/>
  <c r="E94" i="32"/>
  <c r="G94" i="32" s="1"/>
  <c r="J93" i="32"/>
  <c r="I93" i="32"/>
  <c r="E93" i="32"/>
  <c r="G93" i="32" s="1"/>
  <c r="J92" i="32"/>
  <c r="I92" i="32"/>
  <c r="E92" i="32"/>
  <c r="G92" i="32" s="1"/>
  <c r="J91" i="32"/>
  <c r="I91" i="32"/>
  <c r="E91" i="32"/>
  <c r="G91" i="32" s="1"/>
  <c r="J90" i="32"/>
  <c r="I90" i="32"/>
  <c r="E90" i="32"/>
  <c r="G90" i="32" s="1"/>
  <c r="J89" i="32"/>
  <c r="I89" i="32"/>
  <c r="E89" i="32"/>
  <c r="G89" i="32" s="1"/>
  <c r="G121" i="32" s="1"/>
  <c r="I83" i="32"/>
  <c r="J83" i="32" s="1"/>
  <c r="E83" i="32"/>
  <c r="G83" i="32" s="1"/>
  <c r="I82" i="32"/>
  <c r="J82" i="32" s="1"/>
  <c r="E82" i="32"/>
  <c r="G82" i="32" s="1"/>
  <c r="I81" i="32"/>
  <c r="J81" i="32" s="1"/>
  <c r="E81" i="32"/>
  <c r="G81" i="32" s="1"/>
  <c r="I80" i="32"/>
  <c r="J80" i="32" s="1"/>
  <c r="E80" i="32"/>
  <c r="G80" i="32" s="1"/>
  <c r="I79" i="32"/>
  <c r="J79" i="32" s="1"/>
  <c r="E79" i="32"/>
  <c r="G79" i="32" s="1"/>
  <c r="I78" i="32"/>
  <c r="J78" i="32" s="1"/>
  <c r="E78" i="32"/>
  <c r="G78" i="32" s="1"/>
  <c r="I77" i="32"/>
  <c r="J77" i="32" s="1"/>
  <c r="E77" i="32"/>
  <c r="G77" i="32" s="1"/>
  <c r="I76" i="32"/>
  <c r="J76" i="32" s="1"/>
  <c r="E76" i="32"/>
  <c r="G76" i="32" s="1"/>
  <c r="I75" i="32"/>
  <c r="J75" i="32" s="1"/>
  <c r="E75" i="32"/>
  <c r="G75" i="32" s="1"/>
  <c r="I74" i="32"/>
  <c r="J74" i="32" s="1"/>
  <c r="E74" i="32"/>
  <c r="G74" i="32" s="1"/>
  <c r="I73" i="32"/>
  <c r="J73" i="32" s="1"/>
  <c r="G73" i="32"/>
  <c r="E73" i="32"/>
  <c r="I72" i="32"/>
  <c r="J72" i="32" s="1"/>
  <c r="E72" i="32"/>
  <c r="G72" i="32" s="1"/>
  <c r="I71" i="32"/>
  <c r="J71" i="32" s="1"/>
  <c r="E71" i="32"/>
  <c r="G71" i="32" s="1"/>
  <c r="I70" i="32"/>
  <c r="J70" i="32" s="1"/>
  <c r="E70" i="32"/>
  <c r="G70" i="32" s="1"/>
  <c r="I69" i="32"/>
  <c r="J69" i="32" s="1"/>
  <c r="E69" i="32"/>
  <c r="G69" i="32" s="1"/>
  <c r="I68" i="32"/>
  <c r="J68" i="32" s="1"/>
  <c r="E68" i="32"/>
  <c r="G68" i="32" s="1"/>
  <c r="I67" i="32"/>
  <c r="J67" i="32" s="1"/>
  <c r="E67" i="32"/>
  <c r="G67" i="32" s="1"/>
  <c r="I66" i="32"/>
  <c r="J66" i="32" s="1"/>
  <c r="E66" i="32"/>
  <c r="G66" i="32" s="1"/>
  <c r="I65" i="32"/>
  <c r="J65" i="32" s="1"/>
  <c r="E65" i="32"/>
  <c r="G65" i="32" s="1"/>
  <c r="I64" i="32"/>
  <c r="J64" i="32" s="1"/>
  <c r="E64" i="32"/>
  <c r="G64" i="32" s="1"/>
  <c r="I63" i="32"/>
  <c r="J63" i="32" s="1"/>
  <c r="E63" i="32"/>
  <c r="G63" i="32" s="1"/>
  <c r="I62" i="32"/>
  <c r="J62" i="32" s="1"/>
  <c r="E62" i="32"/>
  <c r="G62" i="32" s="1"/>
  <c r="I61" i="32"/>
  <c r="J61" i="32" s="1"/>
  <c r="E61" i="32"/>
  <c r="G61" i="32" s="1"/>
  <c r="I60" i="32"/>
  <c r="J60" i="32" s="1"/>
  <c r="E60" i="32"/>
  <c r="G60" i="32" s="1"/>
  <c r="I59" i="32"/>
  <c r="J59" i="32" s="1"/>
  <c r="E59" i="32"/>
  <c r="G59" i="32" s="1"/>
  <c r="I58" i="32"/>
  <c r="J58" i="32" s="1"/>
  <c r="E58" i="32"/>
  <c r="G58" i="32" s="1"/>
  <c r="I57" i="32"/>
  <c r="J57" i="32" s="1"/>
  <c r="G57" i="32"/>
  <c r="E57" i="32"/>
  <c r="I56" i="32"/>
  <c r="J56" i="32" s="1"/>
  <c r="E56" i="32"/>
  <c r="G56" i="32" s="1"/>
  <c r="I55" i="32"/>
  <c r="J55" i="32" s="1"/>
  <c r="E55" i="32"/>
  <c r="G55" i="32" s="1"/>
  <c r="I54" i="32"/>
  <c r="J54" i="32" s="1"/>
  <c r="E54" i="32"/>
  <c r="G54" i="32" s="1"/>
  <c r="I53" i="32"/>
  <c r="J53" i="32" s="1"/>
  <c r="E53" i="32"/>
  <c r="G53" i="32" s="1"/>
  <c r="I52" i="32"/>
  <c r="J52" i="32" s="1"/>
  <c r="E52" i="32"/>
  <c r="G52" i="32" s="1"/>
  <c r="I51" i="32"/>
  <c r="J51" i="32" s="1"/>
  <c r="E51" i="32"/>
  <c r="G51" i="32" s="1"/>
  <c r="I50" i="32"/>
  <c r="J50" i="32" s="1"/>
  <c r="E50" i="32"/>
  <c r="G50" i="32" s="1"/>
  <c r="I49" i="32"/>
  <c r="J49" i="32" s="1"/>
  <c r="E49" i="32"/>
  <c r="G49" i="32" s="1"/>
  <c r="I48" i="32"/>
  <c r="J48" i="32" s="1"/>
  <c r="E48" i="32"/>
  <c r="G48" i="32" s="1"/>
  <c r="I47" i="32"/>
  <c r="J47" i="32" s="1"/>
  <c r="E47" i="32"/>
  <c r="G47" i="32" s="1"/>
  <c r="I46" i="32"/>
  <c r="J46" i="32" s="1"/>
  <c r="E46" i="32"/>
  <c r="G46" i="32" s="1"/>
  <c r="I45" i="32"/>
  <c r="J45" i="32" s="1"/>
  <c r="E45" i="32"/>
  <c r="G45" i="32" s="1"/>
  <c r="I44" i="32"/>
  <c r="J44" i="32" s="1"/>
  <c r="E44" i="32"/>
  <c r="G44" i="32" s="1"/>
  <c r="I43" i="32"/>
  <c r="J43" i="32" s="1"/>
  <c r="E43" i="32"/>
  <c r="G43" i="32" s="1"/>
  <c r="I42" i="32"/>
  <c r="J42" i="32" s="1"/>
  <c r="E42" i="32"/>
  <c r="G42" i="32" s="1"/>
  <c r="I41" i="32"/>
  <c r="J41" i="32" s="1"/>
  <c r="E41" i="32"/>
  <c r="G41" i="32" s="1"/>
  <c r="I40" i="32"/>
  <c r="J40" i="32" s="1"/>
  <c r="E40" i="32"/>
  <c r="G40" i="32" s="1"/>
  <c r="I39" i="32"/>
  <c r="J39" i="32" s="1"/>
  <c r="E39" i="32"/>
  <c r="G39" i="32" s="1"/>
  <c r="I38" i="32"/>
  <c r="J38" i="32" s="1"/>
  <c r="E38" i="32"/>
  <c r="G38" i="32" s="1"/>
  <c r="I37" i="32"/>
  <c r="J37" i="32" s="1"/>
  <c r="E37" i="32"/>
  <c r="G37" i="32" s="1"/>
  <c r="I36" i="32"/>
  <c r="J36" i="32" s="1"/>
  <c r="E36" i="32"/>
  <c r="G36" i="32" s="1"/>
  <c r="I35" i="32"/>
  <c r="J35" i="32" s="1"/>
  <c r="E35" i="32"/>
  <c r="G35" i="32" s="1"/>
  <c r="I34" i="32"/>
  <c r="J34" i="32" s="1"/>
  <c r="E34" i="32"/>
  <c r="G34" i="32" s="1"/>
  <c r="I33" i="32"/>
  <c r="J33" i="32" s="1"/>
  <c r="E33" i="32"/>
  <c r="G33" i="32" s="1"/>
  <c r="I32" i="32"/>
  <c r="J32" i="32" s="1"/>
  <c r="E32" i="32"/>
  <c r="G32" i="32" s="1"/>
  <c r="I31" i="32"/>
  <c r="J31" i="32" s="1"/>
  <c r="E31" i="32"/>
  <c r="G31" i="32" s="1"/>
  <c r="I30" i="32"/>
  <c r="J30" i="32" s="1"/>
  <c r="E30" i="32"/>
  <c r="G30" i="32" s="1"/>
  <c r="I29" i="32"/>
  <c r="J29" i="32" s="1"/>
  <c r="E29" i="32"/>
  <c r="G29" i="32" s="1"/>
  <c r="I28" i="32"/>
  <c r="J28" i="32" s="1"/>
  <c r="E28" i="32"/>
  <c r="G28" i="32" s="1"/>
  <c r="I27" i="32"/>
  <c r="J27" i="32" s="1"/>
  <c r="E27" i="32"/>
  <c r="G27" i="32" s="1"/>
  <c r="I26" i="32"/>
  <c r="J26" i="32" s="1"/>
  <c r="E26" i="32"/>
  <c r="G26" i="32" s="1"/>
  <c r="I25" i="32"/>
  <c r="J25" i="32" s="1"/>
  <c r="E25" i="32"/>
  <c r="G25" i="32" s="1"/>
  <c r="I24" i="32"/>
  <c r="J24" i="32" s="1"/>
  <c r="E24" i="32"/>
  <c r="G24" i="32" s="1"/>
  <c r="I23" i="32"/>
  <c r="J23" i="32" s="1"/>
  <c r="E23" i="32"/>
  <c r="G23" i="32" s="1"/>
  <c r="I22" i="32"/>
  <c r="J22" i="32" s="1"/>
  <c r="E22" i="32"/>
  <c r="G22" i="32" s="1"/>
  <c r="I21" i="32"/>
  <c r="J21" i="32" s="1"/>
  <c r="E21" i="32"/>
  <c r="G21" i="32" s="1"/>
  <c r="I20" i="32"/>
  <c r="J20" i="32" s="1"/>
  <c r="E20" i="32"/>
  <c r="G20" i="32" s="1"/>
  <c r="I19" i="32"/>
  <c r="J19" i="32" s="1"/>
  <c r="E19" i="32"/>
  <c r="G19" i="32" s="1"/>
  <c r="I18" i="32"/>
  <c r="J18" i="32" s="1"/>
  <c r="E18" i="32"/>
  <c r="G18" i="32" s="1"/>
  <c r="I17" i="32"/>
  <c r="J17" i="32" s="1"/>
  <c r="E17" i="32"/>
  <c r="G17" i="32" s="1"/>
  <c r="I16" i="32"/>
  <c r="J16" i="32" s="1"/>
  <c r="E16" i="32"/>
  <c r="G16" i="32" s="1"/>
  <c r="I15" i="32"/>
  <c r="J15" i="32" s="1"/>
  <c r="E15" i="32"/>
  <c r="G15" i="32" s="1"/>
  <c r="I14" i="32"/>
  <c r="J14" i="32" s="1"/>
  <c r="E14" i="32"/>
  <c r="G14" i="32" s="1"/>
  <c r="I13" i="32"/>
  <c r="J13" i="32" s="1"/>
  <c r="E13" i="32"/>
  <c r="G13" i="32" s="1"/>
  <c r="I12" i="32"/>
  <c r="J12" i="32" s="1"/>
  <c r="E12" i="32"/>
  <c r="G12" i="32" s="1"/>
  <c r="I11" i="32"/>
  <c r="J11" i="32" s="1"/>
  <c r="E11" i="32"/>
  <c r="G11" i="32" s="1"/>
  <c r="I10" i="32"/>
  <c r="J10" i="32" s="1"/>
  <c r="E10" i="32"/>
  <c r="G10" i="32" s="1"/>
  <c r="I9" i="32"/>
  <c r="J9" i="32" s="1"/>
  <c r="E9" i="32"/>
  <c r="G9" i="32" s="1"/>
  <c r="I8" i="32"/>
  <c r="J8" i="32" s="1"/>
  <c r="E8" i="32"/>
  <c r="G8" i="32" s="1"/>
  <c r="I7" i="32"/>
  <c r="J7" i="32" s="1"/>
  <c r="E7" i="32"/>
  <c r="G7" i="32" s="1"/>
  <c r="I6" i="32"/>
  <c r="J6" i="32" s="1"/>
  <c r="E6" i="32"/>
  <c r="G6" i="32" s="1"/>
  <c r="I5" i="32"/>
  <c r="J5" i="32" s="1"/>
  <c r="E5" i="32"/>
  <c r="G5" i="32" s="1"/>
  <c r="I4" i="32"/>
  <c r="J4" i="32" s="1"/>
  <c r="E4" i="32"/>
  <c r="G4" i="32" s="1"/>
  <c r="I3" i="32"/>
  <c r="J3" i="32" s="1"/>
  <c r="E3" i="32"/>
  <c r="G3" i="32" s="1"/>
  <c r="J120" i="31"/>
  <c r="I120" i="31"/>
  <c r="E120" i="31"/>
  <c r="G120" i="31" s="1"/>
  <c r="J119" i="31"/>
  <c r="I119" i="31"/>
  <c r="E119" i="31"/>
  <c r="G119" i="31" s="1"/>
  <c r="J118" i="31"/>
  <c r="I118" i="31"/>
  <c r="E118" i="31"/>
  <c r="G118" i="31" s="1"/>
  <c r="J117" i="31"/>
  <c r="I117" i="31"/>
  <c r="E117" i="31"/>
  <c r="G117" i="31" s="1"/>
  <c r="J116" i="31"/>
  <c r="I116" i="31"/>
  <c r="E116" i="31"/>
  <c r="G116" i="31" s="1"/>
  <c r="J115" i="31"/>
  <c r="I115" i="31"/>
  <c r="E115" i="31"/>
  <c r="G115" i="31" s="1"/>
  <c r="J114" i="31"/>
  <c r="I114" i="31"/>
  <c r="E114" i="31"/>
  <c r="G114" i="31" s="1"/>
  <c r="J113" i="31"/>
  <c r="I113" i="31"/>
  <c r="E113" i="31"/>
  <c r="G113" i="31" s="1"/>
  <c r="J112" i="31"/>
  <c r="I112" i="31"/>
  <c r="E112" i="31"/>
  <c r="G112" i="31" s="1"/>
  <c r="J111" i="31"/>
  <c r="I111" i="31"/>
  <c r="E111" i="31"/>
  <c r="G111" i="31" s="1"/>
  <c r="J110" i="31"/>
  <c r="I110" i="31"/>
  <c r="E110" i="31"/>
  <c r="G110" i="31" s="1"/>
  <c r="J109" i="31"/>
  <c r="I109" i="31"/>
  <c r="E109" i="31"/>
  <c r="G109" i="31" s="1"/>
  <c r="J108" i="31"/>
  <c r="I108" i="31"/>
  <c r="E108" i="31"/>
  <c r="G108" i="31" s="1"/>
  <c r="J107" i="31"/>
  <c r="I107" i="31"/>
  <c r="E107" i="31"/>
  <c r="G107" i="31" s="1"/>
  <c r="J106" i="31"/>
  <c r="I106" i="31"/>
  <c r="E106" i="31"/>
  <c r="G106" i="31" s="1"/>
  <c r="J105" i="31"/>
  <c r="I105" i="31"/>
  <c r="E105" i="31"/>
  <c r="G105" i="31" s="1"/>
  <c r="J104" i="31"/>
  <c r="I104" i="31"/>
  <c r="E104" i="31"/>
  <c r="G104" i="31" s="1"/>
  <c r="J103" i="31"/>
  <c r="I103" i="31"/>
  <c r="E103" i="31"/>
  <c r="G103" i="31" s="1"/>
  <c r="J102" i="31"/>
  <c r="I102" i="31"/>
  <c r="E102" i="31"/>
  <c r="G102" i="31" s="1"/>
  <c r="J101" i="31"/>
  <c r="I101" i="31"/>
  <c r="E101" i="31"/>
  <c r="G101" i="31" s="1"/>
  <c r="J100" i="31"/>
  <c r="I100" i="31"/>
  <c r="E100" i="31"/>
  <c r="G100" i="31" s="1"/>
  <c r="J99" i="31"/>
  <c r="I99" i="31"/>
  <c r="E99" i="31"/>
  <c r="G99" i="31" s="1"/>
  <c r="J98" i="31"/>
  <c r="I98" i="31"/>
  <c r="E98" i="31"/>
  <c r="G98" i="31" s="1"/>
  <c r="J97" i="31"/>
  <c r="I97" i="31"/>
  <c r="E97" i="31"/>
  <c r="G97" i="31" s="1"/>
  <c r="J96" i="31"/>
  <c r="I96" i="31"/>
  <c r="E96" i="31"/>
  <c r="G96" i="31" s="1"/>
  <c r="J95" i="31"/>
  <c r="I95" i="31"/>
  <c r="E95" i="31"/>
  <c r="G95" i="31" s="1"/>
  <c r="J94" i="31"/>
  <c r="I94" i="31"/>
  <c r="E94" i="31"/>
  <c r="G94" i="31" s="1"/>
  <c r="J93" i="31"/>
  <c r="I93" i="31"/>
  <c r="E93" i="31"/>
  <c r="G93" i="31" s="1"/>
  <c r="J92" i="31"/>
  <c r="I92" i="31"/>
  <c r="E92" i="31"/>
  <c r="G92" i="31" s="1"/>
  <c r="J91" i="31"/>
  <c r="I91" i="31"/>
  <c r="E91" i="31"/>
  <c r="G91" i="31" s="1"/>
  <c r="J90" i="31"/>
  <c r="I90" i="31"/>
  <c r="E90" i="31"/>
  <c r="G90" i="31" s="1"/>
  <c r="I89" i="31"/>
  <c r="E89" i="31"/>
  <c r="G89" i="31" s="1"/>
  <c r="I83" i="31"/>
  <c r="J83" i="31" s="1"/>
  <c r="E83" i="31"/>
  <c r="G83" i="31" s="1"/>
  <c r="I82" i="31"/>
  <c r="J82" i="31" s="1"/>
  <c r="E82" i="31"/>
  <c r="G82" i="31" s="1"/>
  <c r="I81" i="31"/>
  <c r="J81" i="31" s="1"/>
  <c r="E81" i="31"/>
  <c r="G81" i="31" s="1"/>
  <c r="I80" i="31"/>
  <c r="J80" i="31" s="1"/>
  <c r="E80" i="31"/>
  <c r="G80" i="31" s="1"/>
  <c r="I79" i="31"/>
  <c r="J79" i="31" s="1"/>
  <c r="E79" i="31"/>
  <c r="G79" i="31" s="1"/>
  <c r="I78" i="31"/>
  <c r="J78" i="31" s="1"/>
  <c r="E78" i="31"/>
  <c r="G78" i="31" s="1"/>
  <c r="I77" i="31"/>
  <c r="J77" i="31" s="1"/>
  <c r="E77" i="31"/>
  <c r="G77" i="31" s="1"/>
  <c r="I76" i="31"/>
  <c r="J76" i="31" s="1"/>
  <c r="E76" i="31"/>
  <c r="G76" i="31" s="1"/>
  <c r="I75" i="31"/>
  <c r="J75" i="31" s="1"/>
  <c r="E75" i="31"/>
  <c r="G75" i="31" s="1"/>
  <c r="I74" i="31"/>
  <c r="J74" i="31" s="1"/>
  <c r="E74" i="31"/>
  <c r="G74" i="31" s="1"/>
  <c r="I73" i="31"/>
  <c r="J73" i="31" s="1"/>
  <c r="G73" i="31"/>
  <c r="E73" i="31"/>
  <c r="I72" i="31"/>
  <c r="J72" i="31" s="1"/>
  <c r="E72" i="31"/>
  <c r="G72" i="31" s="1"/>
  <c r="I71" i="31"/>
  <c r="J71" i="31" s="1"/>
  <c r="E71" i="31"/>
  <c r="G71" i="31" s="1"/>
  <c r="I70" i="31"/>
  <c r="J70" i="31" s="1"/>
  <c r="E70" i="31"/>
  <c r="G70" i="31" s="1"/>
  <c r="I69" i="31"/>
  <c r="J69" i="31" s="1"/>
  <c r="E69" i="31"/>
  <c r="G69" i="31" s="1"/>
  <c r="I68" i="31"/>
  <c r="J68" i="31" s="1"/>
  <c r="E68" i="31"/>
  <c r="G68" i="31" s="1"/>
  <c r="I67" i="31"/>
  <c r="J67" i="31" s="1"/>
  <c r="E67" i="31"/>
  <c r="G67" i="31" s="1"/>
  <c r="I66" i="31"/>
  <c r="J66" i="31" s="1"/>
  <c r="E66" i="31"/>
  <c r="G66" i="31" s="1"/>
  <c r="I65" i="31"/>
  <c r="J65" i="31" s="1"/>
  <c r="E65" i="31"/>
  <c r="G65" i="31" s="1"/>
  <c r="I64" i="31"/>
  <c r="J64" i="31" s="1"/>
  <c r="E64" i="31"/>
  <c r="G64" i="31" s="1"/>
  <c r="I63" i="31"/>
  <c r="J63" i="31" s="1"/>
  <c r="E63" i="31"/>
  <c r="G63" i="31" s="1"/>
  <c r="I62" i="31"/>
  <c r="J62" i="31" s="1"/>
  <c r="E62" i="31"/>
  <c r="G62" i="31" s="1"/>
  <c r="I61" i="31"/>
  <c r="J61" i="31" s="1"/>
  <c r="E61" i="31"/>
  <c r="G61" i="31" s="1"/>
  <c r="I60" i="31"/>
  <c r="J60" i="31" s="1"/>
  <c r="E60" i="31"/>
  <c r="G60" i="31" s="1"/>
  <c r="I59" i="31"/>
  <c r="J59" i="31" s="1"/>
  <c r="E59" i="31"/>
  <c r="G59" i="31" s="1"/>
  <c r="I58" i="31"/>
  <c r="J58" i="31" s="1"/>
  <c r="E58" i="31"/>
  <c r="G58" i="31" s="1"/>
  <c r="I57" i="31"/>
  <c r="J57" i="31" s="1"/>
  <c r="G57" i="31"/>
  <c r="E57" i="31"/>
  <c r="I56" i="31"/>
  <c r="J56" i="31" s="1"/>
  <c r="E56" i="31"/>
  <c r="G56" i="31" s="1"/>
  <c r="I55" i="31"/>
  <c r="J55" i="31" s="1"/>
  <c r="E55" i="31"/>
  <c r="G55" i="31" s="1"/>
  <c r="I54" i="31"/>
  <c r="J54" i="31" s="1"/>
  <c r="E54" i="31"/>
  <c r="G54" i="31" s="1"/>
  <c r="I53" i="31"/>
  <c r="J53" i="31" s="1"/>
  <c r="E53" i="31"/>
  <c r="G53" i="31" s="1"/>
  <c r="I52" i="31"/>
  <c r="J52" i="31" s="1"/>
  <c r="E52" i="31"/>
  <c r="G52" i="31" s="1"/>
  <c r="I51" i="31"/>
  <c r="J51" i="31" s="1"/>
  <c r="E51" i="31"/>
  <c r="G51" i="31" s="1"/>
  <c r="I50" i="31"/>
  <c r="J50" i="31" s="1"/>
  <c r="E50" i="31"/>
  <c r="G50" i="31" s="1"/>
  <c r="I49" i="31"/>
  <c r="J49" i="31" s="1"/>
  <c r="E49" i="31"/>
  <c r="G49" i="31" s="1"/>
  <c r="I48" i="31"/>
  <c r="J48" i="31" s="1"/>
  <c r="E48" i="31"/>
  <c r="G48" i="31" s="1"/>
  <c r="I47" i="31"/>
  <c r="J47" i="31" s="1"/>
  <c r="E47" i="31"/>
  <c r="G47" i="31" s="1"/>
  <c r="I46" i="31"/>
  <c r="J46" i="31" s="1"/>
  <c r="E46" i="31"/>
  <c r="G46" i="31" s="1"/>
  <c r="I45" i="31"/>
  <c r="J45" i="31" s="1"/>
  <c r="E45" i="31"/>
  <c r="G45" i="31" s="1"/>
  <c r="I44" i="31"/>
  <c r="J44" i="31" s="1"/>
  <c r="E44" i="31"/>
  <c r="G44" i="31" s="1"/>
  <c r="I43" i="31"/>
  <c r="J43" i="31" s="1"/>
  <c r="E43" i="31"/>
  <c r="G43" i="31" s="1"/>
  <c r="I42" i="31"/>
  <c r="J42" i="31" s="1"/>
  <c r="E42" i="31"/>
  <c r="G42" i="31" s="1"/>
  <c r="I41" i="31"/>
  <c r="J41" i="31" s="1"/>
  <c r="E41" i="31"/>
  <c r="G41" i="31" s="1"/>
  <c r="I40" i="31"/>
  <c r="J40" i="31" s="1"/>
  <c r="E40" i="31"/>
  <c r="G40" i="31" s="1"/>
  <c r="I39" i="31"/>
  <c r="J39" i="31" s="1"/>
  <c r="E39" i="31"/>
  <c r="G39" i="31" s="1"/>
  <c r="I38" i="31"/>
  <c r="J38" i="31" s="1"/>
  <c r="E38" i="31"/>
  <c r="G38" i="31" s="1"/>
  <c r="I37" i="31"/>
  <c r="J37" i="31" s="1"/>
  <c r="E37" i="31"/>
  <c r="G37" i="31" s="1"/>
  <c r="I36" i="31"/>
  <c r="J36" i="31" s="1"/>
  <c r="E36" i="31"/>
  <c r="G36" i="31" s="1"/>
  <c r="I35" i="31"/>
  <c r="J35" i="31" s="1"/>
  <c r="E35" i="31"/>
  <c r="G35" i="31" s="1"/>
  <c r="I34" i="31"/>
  <c r="J34" i="31" s="1"/>
  <c r="E34" i="31"/>
  <c r="G34" i="31" s="1"/>
  <c r="I33" i="31"/>
  <c r="J33" i="31" s="1"/>
  <c r="E33" i="31"/>
  <c r="G33" i="31" s="1"/>
  <c r="I32" i="31"/>
  <c r="J32" i="31" s="1"/>
  <c r="E32" i="31"/>
  <c r="G32" i="31" s="1"/>
  <c r="I31" i="31"/>
  <c r="J31" i="31" s="1"/>
  <c r="E31" i="31"/>
  <c r="G31" i="31" s="1"/>
  <c r="I30" i="31"/>
  <c r="J30" i="31" s="1"/>
  <c r="E30" i="31"/>
  <c r="G30" i="31" s="1"/>
  <c r="I29" i="31"/>
  <c r="J29" i="31" s="1"/>
  <c r="E29" i="31"/>
  <c r="G29" i="31" s="1"/>
  <c r="I28" i="31"/>
  <c r="J28" i="31" s="1"/>
  <c r="E28" i="31"/>
  <c r="G28" i="31" s="1"/>
  <c r="I27" i="31"/>
  <c r="J27" i="31" s="1"/>
  <c r="E27" i="31"/>
  <c r="G27" i="31" s="1"/>
  <c r="I26" i="31"/>
  <c r="J26" i="31" s="1"/>
  <c r="E26" i="31"/>
  <c r="G26" i="31" s="1"/>
  <c r="I25" i="31"/>
  <c r="J25" i="31" s="1"/>
  <c r="G25" i="31"/>
  <c r="E25" i="31"/>
  <c r="I24" i="31"/>
  <c r="J24" i="31" s="1"/>
  <c r="E24" i="31"/>
  <c r="G24" i="31" s="1"/>
  <c r="I23" i="31"/>
  <c r="J23" i="31" s="1"/>
  <c r="E23" i="31"/>
  <c r="G23" i="31" s="1"/>
  <c r="I22" i="31"/>
  <c r="J22" i="31" s="1"/>
  <c r="E22" i="31"/>
  <c r="G22" i="31" s="1"/>
  <c r="I21" i="31"/>
  <c r="J21" i="31" s="1"/>
  <c r="E21" i="31"/>
  <c r="G21" i="31" s="1"/>
  <c r="I20" i="31"/>
  <c r="J20" i="31" s="1"/>
  <c r="E20" i="31"/>
  <c r="G20" i="31" s="1"/>
  <c r="I19" i="31"/>
  <c r="J19" i="31" s="1"/>
  <c r="E19" i="31"/>
  <c r="G19" i="31" s="1"/>
  <c r="I18" i="31"/>
  <c r="J18" i="31" s="1"/>
  <c r="E18" i="31"/>
  <c r="G18" i="31" s="1"/>
  <c r="I17" i="31"/>
  <c r="J17" i="31" s="1"/>
  <c r="E17" i="31"/>
  <c r="G17" i="31" s="1"/>
  <c r="I16" i="31"/>
  <c r="J16" i="31" s="1"/>
  <c r="E16" i="31"/>
  <c r="G16" i="31" s="1"/>
  <c r="I15" i="31"/>
  <c r="J15" i="31" s="1"/>
  <c r="E15" i="31"/>
  <c r="G15" i="31" s="1"/>
  <c r="I14" i="31"/>
  <c r="J14" i="31" s="1"/>
  <c r="E14" i="31"/>
  <c r="G14" i="31" s="1"/>
  <c r="I13" i="31"/>
  <c r="J13" i="31" s="1"/>
  <c r="E13" i="31"/>
  <c r="G13" i="31" s="1"/>
  <c r="I12" i="31"/>
  <c r="J12" i="31" s="1"/>
  <c r="E12" i="31"/>
  <c r="G12" i="31" s="1"/>
  <c r="I11" i="31"/>
  <c r="J11" i="31" s="1"/>
  <c r="E11" i="31"/>
  <c r="G11" i="31" s="1"/>
  <c r="I10" i="31"/>
  <c r="J10" i="31" s="1"/>
  <c r="E10" i="31"/>
  <c r="G10" i="31" s="1"/>
  <c r="I9" i="31"/>
  <c r="J9" i="31" s="1"/>
  <c r="E9" i="31"/>
  <c r="G9" i="31" s="1"/>
  <c r="I8" i="31"/>
  <c r="J8" i="31" s="1"/>
  <c r="E8" i="31"/>
  <c r="G8" i="31" s="1"/>
  <c r="I7" i="31"/>
  <c r="J7" i="31" s="1"/>
  <c r="E7" i="31"/>
  <c r="G7" i="31" s="1"/>
  <c r="I6" i="31"/>
  <c r="J6" i="31" s="1"/>
  <c r="G6" i="31"/>
  <c r="E6" i="31"/>
  <c r="I5" i="31"/>
  <c r="J5" i="31" s="1"/>
  <c r="E5" i="31"/>
  <c r="G5" i="31" s="1"/>
  <c r="I4" i="31"/>
  <c r="J4" i="31" s="1"/>
  <c r="E4" i="31"/>
  <c r="G4" i="31" s="1"/>
  <c r="I3" i="31"/>
  <c r="J3" i="31" s="1"/>
  <c r="E3" i="31"/>
  <c r="G3" i="31" s="1"/>
  <c r="J120" i="30"/>
  <c r="I120" i="30"/>
  <c r="G120" i="30"/>
  <c r="E120" i="30"/>
  <c r="J119" i="30"/>
  <c r="I119" i="30"/>
  <c r="G119" i="30"/>
  <c r="E119" i="30"/>
  <c r="J118" i="30"/>
  <c r="I118" i="30"/>
  <c r="G118" i="30"/>
  <c r="E118" i="30"/>
  <c r="J117" i="30"/>
  <c r="I117" i="30"/>
  <c r="G117" i="30"/>
  <c r="E117" i="30"/>
  <c r="J116" i="30"/>
  <c r="I116" i="30"/>
  <c r="G116" i="30"/>
  <c r="E116" i="30"/>
  <c r="J115" i="30"/>
  <c r="I115" i="30"/>
  <c r="G115" i="30"/>
  <c r="E115" i="30"/>
  <c r="J114" i="30"/>
  <c r="I114" i="30"/>
  <c r="G114" i="30"/>
  <c r="E114" i="30"/>
  <c r="J113" i="30"/>
  <c r="I113" i="30"/>
  <c r="G113" i="30"/>
  <c r="E113" i="30"/>
  <c r="J112" i="30"/>
  <c r="I112" i="30"/>
  <c r="E112" i="30"/>
  <c r="G112" i="30" s="1"/>
  <c r="J111" i="30"/>
  <c r="I111" i="30"/>
  <c r="E111" i="30"/>
  <c r="G111" i="30" s="1"/>
  <c r="J110" i="30"/>
  <c r="I110" i="30"/>
  <c r="G110" i="30"/>
  <c r="E110" i="30"/>
  <c r="J109" i="30"/>
  <c r="I109" i="30"/>
  <c r="G109" i="30"/>
  <c r="E109" i="30"/>
  <c r="J108" i="30"/>
  <c r="I108" i="30"/>
  <c r="G108" i="30"/>
  <c r="E108" i="30"/>
  <c r="J107" i="30"/>
  <c r="I107" i="30"/>
  <c r="G107" i="30"/>
  <c r="E107" i="30"/>
  <c r="J106" i="30"/>
  <c r="I106" i="30"/>
  <c r="G106" i="30"/>
  <c r="E106" i="30"/>
  <c r="J105" i="30"/>
  <c r="I105" i="30"/>
  <c r="G105" i="30"/>
  <c r="E105" i="30"/>
  <c r="J104" i="30"/>
  <c r="I104" i="30"/>
  <c r="G104" i="30"/>
  <c r="E104" i="30"/>
  <c r="J103" i="30"/>
  <c r="I103" i="30"/>
  <c r="G103" i="30"/>
  <c r="E103" i="30"/>
  <c r="J102" i="30"/>
  <c r="I102" i="30"/>
  <c r="G102" i="30"/>
  <c r="E102" i="30"/>
  <c r="J101" i="30"/>
  <c r="I101" i="30"/>
  <c r="G101" i="30"/>
  <c r="E101" i="30"/>
  <c r="J100" i="30"/>
  <c r="I100" i="30"/>
  <c r="E100" i="30"/>
  <c r="G100" i="30" s="1"/>
  <c r="J99" i="30"/>
  <c r="I99" i="30"/>
  <c r="E99" i="30"/>
  <c r="G99" i="30" s="1"/>
  <c r="J98" i="30"/>
  <c r="I98" i="30"/>
  <c r="G98" i="30"/>
  <c r="E98" i="30"/>
  <c r="J97" i="30"/>
  <c r="I97" i="30"/>
  <c r="E97" i="30"/>
  <c r="G97" i="30" s="1"/>
  <c r="J96" i="30"/>
  <c r="I96" i="30"/>
  <c r="E96" i="30"/>
  <c r="G96" i="30" s="1"/>
  <c r="J95" i="30"/>
  <c r="I95" i="30"/>
  <c r="E95" i="30"/>
  <c r="G95" i="30" s="1"/>
  <c r="J94" i="30"/>
  <c r="I94" i="30"/>
  <c r="E94" i="30"/>
  <c r="G94" i="30" s="1"/>
  <c r="J93" i="30"/>
  <c r="I93" i="30"/>
  <c r="E93" i="30"/>
  <c r="G93" i="30" s="1"/>
  <c r="J92" i="30"/>
  <c r="I92" i="30"/>
  <c r="G92" i="30"/>
  <c r="E92" i="30"/>
  <c r="J91" i="30"/>
  <c r="I91" i="30"/>
  <c r="E91" i="30"/>
  <c r="G91" i="30" s="1"/>
  <c r="J90" i="30"/>
  <c r="I90" i="30"/>
  <c r="E90" i="30"/>
  <c r="G90" i="30" s="1"/>
  <c r="J89" i="30"/>
  <c r="I89" i="30"/>
  <c r="G89" i="30"/>
  <c r="E89" i="30"/>
  <c r="J83" i="30"/>
  <c r="I83" i="30"/>
  <c r="E83" i="30"/>
  <c r="G83" i="30" s="1"/>
  <c r="J82" i="30"/>
  <c r="I82" i="30"/>
  <c r="E82" i="30"/>
  <c r="G82" i="30" s="1"/>
  <c r="J81" i="30"/>
  <c r="I81" i="30"/>
  <c r="E81" i="30"/>
  <c r="G81" i="30" s="1"/>
  <c r="J80" i="30"/>
  <c r="I80" i="30"/>
  <c r="E80" i="30"/>
  <c r="G80" i="30" s="1"/>
  <c r="J79" i="30"/>
  <c r="I79" i="30"/>
  <c r="E79" i="30"/>
  <c r="G79" i="30" s="1"/>
  <c r="J78" i="30"/>
  <c r="I78" i="30"/>
  <c r="E78" i="30"/>
  <c r="G78" i="30" s="1"/>
  <c r="J77" i="30"/>
  <c r="I77" i="30"/>
  <c r="E77" i="30"/>
  <c r="G77" i="30" s="1"/>
  <c r="J76" i="30"/>
  <c r="I76" i="30"/>
  <c r="E76" i="30"/>
  <c r="G76" i="30" s="1"/>
  <c r="J75" i="30"/>
  <c r="I75" i="30"/>
  <c r="E75" i="30"/>
  <c r="G75" i="30" s="1"/>
  <c r="J74" i="30"/>
  <c r="I74" i="30"/>
  <c r="E74" i="30"/>
  <c r="G74" i="30" s="1"/>
  <c r="J73" i="30"/>
  <c r="I73" i="30"/>
  <c r="E73" i="30"/>
  <c r="G73" i="30" s="1"/>
  <c r="J72" i="30"/>
  <c r="I72" i="30"/>
  <c r="E72" i="30"/>
  <c r="G72" i="30" s="1"/>
  <c r="J71" i="30"/>
  <c r="I71" i="30"/>
  <c r="E71" i="30"/>
  <c r="G71" i="30" s="1"/>
  <c r="J70" i="30"/>
  <c r="I70" i="30"/>
  <c r="E70" i="30"/>
  <c r="G70" i="30" s="1"/>
  <c r="J69" i="30"/>
  <c r="I69" i="30"/>
  <c r="E69" i="30"/>
  <c r="G69" i="30" s="1"/>
  <c r="J68" i="30"/>
  <c r="I68" i="30"/>
  <c r="E68" i="30"/>
  <c r="G68" i="30" s="1"/>
  <c r="J67" i="30"/>
  <c r="I67" i="30"/>
  <c r="E67" i="30"/>
  <c r="G67" i="30" s="1"/>
  <c r="J66" i="30"/>
  <c r="I66" i="30"/>
  <c r="E66" i="30"/>
  <c r="G66" i="30" s="1"/>
  <c r="J65" i="30"/>
  <c r="I65" i="30"/>
  <c r="E65" i="30"/>
  <c r="G65" i="30" s="1"/>
  <c r="J64" i="30"/>
  <c r="I64" i="30"/>
  <c r="E64" i="30"/>
  <c r="G64" i="30" s="1"/>
  <c r="J63" i="30"/>
  <c r="I63" i="30"/>
  <c r="E63" i="30"/>
  <c r="G63" i="30" s="1"/>
  <c r="J62" i="30"/>
  <c r="I62" i="30"/>
  <c r="E62" i="30"/>
  <c r="G62" i="30" s="1"/>
  <c r="J61" i="30"/>
  <c r="I61" i="30"/>
  <c r="E61" i="30"/>
  <c r="G61" i="30" s="1"/>
  <c r="J60" i="30"/>
  <c r="I60" i="30"/>
  <c r="E60" i="30"/>
  <c r="G60" i="30" s="1"/>
  <c r="J59" i="30"/>
  <c r="I59" i="30"/>
  <c r="E59" i="30"/>
  <c r="G59" i="30" s="1"/>
  <c r="J58" i="30"/>
  <c r="I58" i="30"/>
  <c r="E58" i="30"/>
  <c r="G58" i="30" s="1"/>
  <c r="J57" i="30"/>
  <c r="I57" i="30"/>
  <c r="E57" i="30"/>
  <c r="G57" i="30" s="1"/>
  <c r="J56" i="30"/>
  <c r="I56" i="30"/>
  <c r="E56" i="30"/>
  <c r="G56" i="30" s="1"/>
  <c r="J55" i="30"/>
  <c r="I55" i="30"/>
  <c r="E55" i="30"/>
  <c r="G55" i="30" s="1"/>
  <c r="J54" i="30"/>
  <c r="I54" i="30"/>
  <c r="E54" i="30"/>
  <c r="G54" i="30" s="1"/>
  <c r="J53" i="30"/>
  <c r="I53" i="30"/>
  <c r="E53" i="30"/>
  <c r="G53" i="30" s="1"/>
  <c r="J52" i="30"/>
  <c r="I52" i="30"/>
  <c r="E52" i="30"/>
  <c r="G52" i="30" s="1"/>
  <c r="J51" i="30"/>
  <c r="I51" i="30"/>
  <c r="E51" i="30"/>
  <c r="G51" i="30" s="1"/>
  <c r="J50" i="30"/>
  <c r="I50" i="30"/>
  <c r="E50" i="30"/>
  <c r="G50" i="30" s="1"/>
  <c r="J49" i="30"/>
  <c r="I49" i="30"/>
  <c r="E49" i="30"/>
  <c r="G49" i="30" s="1"/>
  <c r="J48" i="30"/>
  <c r="I48" i="30"/>
  <c r="E48" i="30"/>
  <c r="G48" i="30" s="1"/>
  <c r="J47" i="30"/>
  <c r="I47" i="30"/>
  <c r="E47" i="30"/>
  <c r="G47" i="30" s="1"/>
  <c r="J46" i="30"/>
  <c r="I46" i="30"/>
  <c r="E46" i="30"/>
  <c r="G46" i="30" s="1"/>
  <c r="J45" i="30"/>
  <c r="I45" i="30"/>
  <c r="E45" i="30"/>
  <c r="G45" i="30" s="1"/>
  <c r="J44" i="30"/>
  <c r="I44" i="30"/>
  <c r="E44" i="30"/>
  <c r="G44" i="30" s="1"/>
  <c r="J43" i="30"/>
  <c r="I43" i="30"/>
  <c r="E43" i="30"/>
  <c r="G43" i="30" s="1"/>
  <c r="J42" i="30"/>
  <c r="I42" i="30"/>
  <c r="E42" i="30"/>
  <c r="G42" i="30" s="1"/>
  <c r="J41" i="30"/>
  <c r="I41" i="30"/>
  <c r="E41" i="30"/>
  <c r="G41" i="30" s="1"/>
  <c r="J40" i="30"/>
  <c r="I40" i="30"/>
  <c r="E40" i="30"/>
  <c r="G40" i="30" s="1"/>
  <c r="J39" i="30"/>
  <c r="I39" i="30"/>
  <c r="E39" i="30"/>
  <c r="G39" i="30" s="1"/>
  <c r="J38" i="30"/>
  <c r="I38" i="30"/>
  <c r="E38" i="30"/>
  <c r="G38" i="30" s="1"/>
  <c r="J37" i="30"/>
  <c r="I37" i="30"/>
  <c r="E37" i="30"/>
  <c r="G37" i="30" s="1"/>
  <c r="J36" i="30"/>
  <c r="I36" i="30"/>
  <c r="E36" i="30"/>
  <c r="G36" i="30" s="1"/>
  <c r="J35" i="30"/>
  <c r="I35" i="30"/>
  <c r="E35" i="30"/>
  <c r="G35" i="30" s="1"/>
  <c r="J34" i="30"/>
  <c r="I34" i="30"/>
  <c r="E34" i="30"/>
  <c r="G34" i="30" s="1"/>
  <c r="J33" i="30"/>
  <c r="I33" i="30"/>
  <c r="E33" i="30"/>
  <c r="G33" i="30" s="1"/>
  <c r="J32" i="30"/>
  <c r="I32" i="30"/>
  <c r="E32" i="30"/>
  <c r="G32" i="30" s="1"/>
  <c r="J31" i="30"/>
  <c r="I31" i="30"/>
  <c r="E31" i="30"/>
  <c r="G31" i="30" s="1"/>
  <c r="J30" i="30"/>
  <c r="I30" i="30"/>
  <c r="E30" i="30"/>
  <c r="G30" i="30" s="1"/>
  <c r="J29" i="30"/>
  <c r="I29" i="30"/>
  <c r="E29" i="30"/>
  <c r="G29" i="30" s="1"/>
  <c r="J28" i="30"/>
  <c r="I28" i="30"/>
  <c r="E28" i="30"/>
  <c r="G28" i="30" s="1"/>
  <c r="J27" i="30"/>
  <c r="I27" i="30"/>
  <c r="E27" i="30"/>
  <c r="G27" i="30" s="1"/>
  <c r="J26" i="30"/>
  <c r="I26" i="30"/>
  <c r="E26" i="30"/>
  <c r="G26" i="30" s="1"/>
  <c r="J25" i="30"/>
  <c r="I25" i="30"/>
  <c r="E25" i="30"/>
  <c r="G25" i="30" s="1"/>
  <c r="J24" i="30"/>
  <c r="I24" i="30"/>
  <c r="E24" i="30"/>
  <c r="G24" i="30" s="1"/>
  <c r="J23" i="30"/>
  <c r="I23" i="30"/>
  <c r="E23" i="30"/>
  <c r="G23" i="30" s="1"/>
  <c r="J22" i="30"/>
  <c r="I22" i="30"/>
  <c r="E22" i="30"/>
  <c r="G22" i="30" s="1"/>
  <c r="J21" i="30"/>
  <c r="I21" i="30"/>
  <c r="E21" i="30"/>
  <c r="G21" i="30" s="1"/>
  <c r="J20" i="30"/>
  <c r="I20" i="30"/>
  <c r="E20" i="30"/>
  <c r="G20" i="30" s="1"/>
  <c r="J19" i="30"/>
  <c r="I19" i="30"/>
  <c r="E19" i="30"/>
  <c r="G19" i="30" s="1"/>
  <c r="J18" i="30"/>
  <c r="I18" i="30"/>
  <c r="E18" i="30"/>
  <c r="G18" i="30" s="1"/>
  <c r="J17" i="30"/>
  <c r="I17" i="30"/>
  <c r="E17" i="30"/>
  <c r="G17" i="30" s="1"/>
  <c r="J16" i="30"/>
  <c r="I16" i="30"/>
  <c r="E16" i="30"/>
  <c r="G16" i="30" s="1"/>
  <c r="J15" i="30"/>
  <c r="I15" i="30"/>
  <c r="E15" i="30"/>
  <c r="G15" i="30" s="1"/>
  <c r="J14" i="30"/>
  <c r="I14" i="30"/>
  <c r="E14" i="30"/>
  <c r="G14" i="30" s="1"/>
  <c r="J13" i="30"/>
  <c r="I13" i="30"/>
  <c r="E13" i="30"/>
  <c r="G13" i="30" s="1"/>
  <c r="J12" i="30"/>
  <c r="I12" i="30"/>
  <c r="E12" i="30"/>
  <c r="G12" i="30" s="1"/>
  <c r="J11" i="30"/>
  <c r="I11" i="30"/>
  <c r="E11" i="30"/>
  <c r="G11" i="30" s="1"/>
  <c r="J10" i="30"/>
  <c r="I10" i="30"/>
  <c r="E10" i="30"/>
  <c r="G10" i="30" s="1"/>
  <c r="J9" i="30"/>
  <c r="I9" i="30"/>
  <c r="E9" i="30"/>
  <c r="G9" i="30" s="1"/>
  <c r="J8" i="30"/>
  <c r="I8" i="30"/>
  <c r="E8" i="30"/>
  <c r="G8" i="30" s="1"/>
  <c r="J7" i="30"/>
  <c r="I7" i="30"/>
  <c r="E7" i="30"/>
  <c r="G7" i="30" s="1"/>
  <c r="J6" i="30"/>
  <c r="I6" i="30"/>
  <c r="E6" i="30"/>
  <c r="G6" i="30" s="1"/>
  <c r="J5" i="30"/>
  <c r="I5" i="30"/>
  <c r="E5" i="30"/>
  <c r="G5" i="30" s="1"/>
  <c r="J4" i="30"/>
  <c r="I4" i="30"/>
  <c r="E4" i="30"/>
  <c r="G4" i="30" s="1"/>
  <c r="J3" i="30"/>
  <c r="I3" i="30"/>
  <c r="E3" i="30"/>
  <c r="G3" i="30" s="1"/>
  <c r="J120" i="29"/>
  <c r="I120" i="29"/>
  <c r="E120" i="29"/>
  <c r="G120" i="29" s="1"/>
  <c r="J119" i="29"/>
  <c r="I119" i="29"/>
  <c r="E119" i="29"/>
  <c r="G119" i="29" s="1"/>
  <c r="J118" i="29"/>
  <c r="I118" i="29"/>
  <c r="E118" i="29"/>
  <c r="G118" i="29" s="1"/>
  <c r="J117" i="29"/>
  <c r="I117" i="29"/>
  <c r="E117" i="29"/>
  <c r="G117" i="29" s="1"/>
  <c r="J116" i="29"/>
  <c r="I116" i="29"/>
  <c r="E116" i="29"/>
  <c r="G116" i="29" s="1"/>
  <c r="J115" i="29"/>
  <c r="I115" i="29"/>
  <c r="E115" i="29"/>
  <c r="G115" i="29" s="1"/>
  <c r="J114" i="29"/>
  <c r="I114" i="29"/>
  <c r="E114" i="29"/>
  <c r="G114" i="29" s="1"/>
  <c r="J113" i="29"/>
  <c r="I113" i="29"/>
  <c r="E113" i="29"/>
  <c r="G113" i="29" s="1"/>
  <c r="J112" i="29"/>
  <c r="I112" i="29"/>
  <c r="E112" i="29"/>
  <c r="G112" i="29" s="1"/>
  <c r="J111" i="29"/>
  <c r="I111" i="29"/>
  <c r="E111" i="29"/>
  <c r="G111" i="29" s="1"/>
  <c r="J110" i="29"/>
  <c r="I110" i="29"/>
  <c r="E110" i="29"/>
  <c r="G110" i="29" s="1"/>
  <c r="J109" i="29"/>
  <c r="I109" i="29"/>
  <c r="E109" i="29"/>
  <c r="G109" i="29" s="1"/>
  <c r="J108" i="29"/>
  <c r="I108" i="29"/>
  <c r="E108" i="29"/>
  <c r="G108" i="29" s="1"/>
  <c r="J107" i="29"/>
  <c r="I107" i="29"/>
  <c r="E107" i="29"/>
  <c r="G107" i="29" s="1"/>
  <c r="J106" i="29"/>
  <c r="I106" i="29"/>
  <c r="E106" i="29"/>
  <c r="G106" i="29" s="1"/>
  <c r="J105" i="29"/>
  <c r="I105" i="29"/>
  <c r="E105" i="29"/>
  <c r="G105" i="29" s="1"/>
  <c r="J104" i="29"/>
  <c r="I104" i="29"/>
  <c r="E104" i="29"/>
  <c r="G104" i="29" s="1"/>
  <c r="J103" i="29"/>
  <c r="I103" i="29"/>
  <c r="E103" i="29"/>
  <c r="G103" i="29" s="1"/>
  <c r="J102" i="29"/>
  <c r="I102" i="29"/>
  <c r="E102" i="29"/>
  <c r="G102" i="29" s="1"/>
  <c r="J101" i="29"/>
  <c r="I101" i="29"/>
  <c r="E101" i="29"/>
  <c r="G101" i="29" s="1"/>
  <c r="J100" i="29"/>
  <c r="I100" i="29"/>
  <c r="E100" i="29"/>
  <c r="G100" i="29" s="1"/>
  <c r="J99" i="29"/>
  <c r="I99" i="29"/>
  <c r="E99" i="29"/>
  <c r="G99" i="29" s="1"/>
  <c r="J98" i="29"/>
  <c r="I98" i="29"/>
  <c r="E98" i="29"/>
  <c r="G98" i="29" s="1"/>
  <c r="J97" i="29"/>
  <c r="I97" i="29"/>
  <c r="E97" i="29"/>
  <c r="G97" i="29" s="1"/>
  <c r="J96" i="29"/>
  <c r="I96" i="29"/>
  <c r="E96" i="29"/>
  <c r="G96" i="29" s="1"/>
  <c r="J95" i="29"/>
  <c r="I95" i="29"/>
  <c r="E95" i="29"/>
  <c r="G95" i="29" s="1"/>
  <c r="J94" i="29"/>
  <c r="I94" i="29"/>
  <c r="E94" i="29"/>
  <c r="G94" i="29" s="1"/>
  <c r="J93" i="29"/>
  <c r="I93" i="29"/>
  <c r="E93" i="29"/>
  <c r="G93" i="29" s="1"/>
  <c r="J92" i="29"/>
  <c r="I92" i="29"/>
  <c r="E92" i="29"/>
  <c r="G92" i="29" s="1"/>
  <c r="J91" i="29"/>
  <c r="I91" i="29"/>
  <c r="E91" i="29"/>
  <c r="G91" i="29" s="1"/>
  <c r="J90" i="29"/>
  <c r="I90" i="29"/>
  <c r="E90" i="29"/>
  <c r="G90" i="29" s="1"/>
  <c r="I89" i="29"/>
  <c r="E89" i="29"/>
  <c r="G89" i="29" s="1"/>
  <c r="I83" i="29"/>
  <c r="J83" i="29" s="1"/>
  <c r="E83" i="29"/>
  <c r="G83" i="29" s="1"/>
  <c r="I82" i="29"/>
  <c r="J82" i="29" s="1"/>
  <c r="E82" i="29"/>
  <c r="G82" i="29" s="1"/>
  <c r="I81" i="29"/>
  <c r="J81" i="29" s="1"/>
  <c r="E81" i="29"/>
  <c r="G81" i="29" s="1"/>
  <c r="I80" i="29"/>
  <c r="J80" i="29" s="1"/>
  <c r="E80" i="29"/>
  <c r="G80" i="29" s="1"/>
  <c r="I79" i="29"/>
  <c r="J79" i="29" s="1"/>
  <c r="E79" i="29"/>
  <c r="G79" i="29" s="1"/>
  <c r="I78" i="29"/>
  <c r="J78" i="29" s="1"/>
  <c r="E78" i="29"/>
  <c r="G78" i="29" s="1"/>
  <c r="I77" i="29"/>
  <c r="J77" i="29" s="1"/>
  <c r="E77" i="29"/>
  <c r="G77" i="29" s="1"/>
  <c r="I76" i="29"/>
  <c r="J76" i="29" s="1"/>
  <c r="E76" i="29"/>
  <c r="G76" i="29" s="1"/>
  <c r="I75" i="29"/>
  <c r="J75" i="29" s="1"/>
  <c r="E75" i="29"/>
  <c r="G75" i="29" s="1"/>
  <c r="I74" i="29"/>
  <c r="J74" i="29" s="1"/>
  <c r="E74" i="29"/>
  <c r="G74" i="29" s="1"/>
  <c r="I73" i="29"/>
  <c r="J73" i="29" s="1"/>
  <c r="G73" i="29"/>
  <c r="E73" i="29"/>
  <c r="I72" i="29"/>
  <c r="J72" i="29" s="1"/>
  <c r="E72" i="29"/>
  <c r="G72" i="29" s="1"/>
  <c r="I71" i="29"/>
  <c r="J71" i="29" s="1"/>
  <c r="E71" i="29"/>
  <c r="G71" i="29" s="1"/>
  <c r="I70" i="29"/>
  <c r="J70" i="29" s="1"/>
  <c r="E70" i="29"/>
  <c r="G70" i="29" s="1"/>
  <c r="I69" i="29"/>
  <c r="J69" i="29" s="1"/>
  <c r="E69" i="29"/>
  <c r="G69" i="29" s="1"/>
  <c r="I68" i="29"/>
  <c r="J68" i="29" s="1"/>
  <c r="E68" i="29"/>
  <c r="G68" i="29" s="1"/>
  <c r="I67" i="29"/>
  <c r="J67" i="29" s="1"/>
  <c r="E67" i="29"/>
  <c r="G67" i="29" s="1"/>
  <c r="I66" i="29"/>
  <c r="J66" i="29" s="1"/>
  <c r="E66" i="29"/>
  <c r="G66" i="29" s="1"/>
  <c r="I65" i="29"/>
  <c r="J65" i="29" s="1"/>
  <c r="E65" i="29"/>
  <c r="G65" i="29" s="1"/>
  <c r="I64" i="29"/>
  <c r="J64" i="29" s="1"/>
  <c r="E64" i="29"/>
  <c r="G64" i="29" s="1"/>
  <c r="I63" i="29"/>
  <c r="J63" i="29" s="1"/>
  <c r="E63" i="29"/>
  <c r="G63" i="29" s="1"/>
  <c r="I62" i="29"/>
  <c r="J62" i="29" s="1"/>
  <c r="E62" i="29"/>
  <c r="G62" i="29" s="1"/>
  <c r="I61" i="29"/>
  <c r="J61" i="29" s="1"/>
  <c r="E61" i="29"/>
  <c r="G61" i="29" s="1"/>
  <c r="I60" i="29"/>
  <c r="J60" i="29" s="1"/>
  <c r="E60" i="29"/>
  <c r="G60" i="29" s="1"/>
  <c r="I59" i="29"/>
  <c r="J59" i="29" s="1"/>
  <c r="E59" i="29"/>
  <c r="G59" i="29" s="1"/>
  <c r="I58" i="29"/>
  <c r="J58" i="29" s="1"/>
  <c r="E58" i="29"/>
  <c r="G58" i="29" s="1"/>
  <c r="I57" i="29"/>
  <c r="J57" i="29" s="1"/>
  <c r="G57" i="29"/>
  <c r="E57" i="29"/>
  <c r="I56" i="29"/>
  <c r="J56" i="29" s="1"/>
  <c r="E56" i="29"/>
  <c r="G56" i="29" s="1"/>
  <c r="I55" i="29"/>
  <c r="J55" i="29" s="1"/>
  <c r="E55" i="29"/>
  <c r="G55" i="29" s="1"/>
  <c r="I54" i="29"/>
  <c r="J54" i="29" s="1"/>
  <c r="E54" i="29"/>
  <c r="G54" i="29" s="1"/>
  <c r="I53" i="29"/>
  <c r="J53" i="29" s="1"/>
  <c r="E53" i="29"/>
  <c r="G53" i="29" s="1"/>
  <c r="I52" i="29"/>
  <c r="J52" i="29" s="1"/>
  <c r="E52" i="29"/>
  <c r="G52" i="29" s="1"/>
  <c r="I51" i="29"/>
  <c r="J51" i="29" s="1"/>
  <c r="E51" i="29"/>
  <c r="G51" i="29" s="1"/>
  <c r="I50" i="29"/>
  <c r="J50" i="29" s="1"/>
  <c r="E50" i="29"/>
  <c r="G50" i="29" s="1"/>
  <c r="I49" i="29"/>
  <c r="J49" i="29" s="1"/>
  <c r="E49" i="29"/>
  <c r="G49" i="29" s="1"/>
  <c r="I48" i="29"/>
  <c r="J48" i="29" s="1"/>
  <c r="E48" i="29"/>
  <c r="G48" i="29" s="1"/>
  <c r="I47" i="29"/>
  <c r="J47" i="29" s="1"/>
  <c r="E47" i="29"/>
  <c r="G47" i="29" s="1"/>
  <c r="I46" i="29"/>
  <c r="J46" i="29" s="1"/>
  <c r="E46" i="29"/>
  <c r="G46" i="29" s="1"/>
  <c r="I45" i="29"/>
  <c r="J45" i="29" s="1"/>
  <c r="E45" i="29"/>
  <c r="G45" i="29" s="1"/>
  <c r="I44" i="29"/>
  <c r="J44" i="29" s="1"/>
  <c r="E44" i="29"/>
  <c r="G44" i="29" s="1"/>
  <c r="I43" i="29"/>
  <c r="J43" i="29" s="1"/>
  <c r="E43" i="29"/>
  <c r="G43" i="29" s="1"/>
  <c r="I42" i="29"/>
  <c r="J42" i="29" s="1"/>
  <c r="E42" i="29"/>
  <c r="G42" i="29" s="1"/>
  <c r="I41" i="29"/>
  <c r="J41" i="29" s="1"/>
  <c r="G41" i="29"/>
  <c r="E41" i="29"/>
  <c r="I40" i="29"/>
  <c r="J40" i="29" s="1"/>
  <c r="E40" i="29"/>
  <c r="G40" i="29" s="1"/>
  <c r="I39" i="29"/>
  <c r="J39" i="29" s="1"/>
  <c r="E39" i="29"/>
  <c r="G39" i="29" s="1"/>
  <c r="I38" i="29"/>
  <c r="J38" i="29" s="1"/>
  <c r="E38" i="29"/>
  <c r="G38" i="29" s="1"/>
  <c r="I37" i="29"/>
  <c r="J37" i="29" s="1"/>
  <c r="E37" i="29"/>
  <c r="G37" i="29" s="1"/>
  <c r="I36" i="29"/>
  <c r="J36" i="29" s="1"/>
  <c r="E36" i="29"/>
  <c r="G36" i="29" s="1"/>
  <c r="I35" i="29"/>
  <c r="J35" i="29" s="1"/>
  <c r="E35" i="29"/>
  <c r="G35" i="29" s="1"/>
  <c r="I34" i="29"/>
  <c r="J34" i="29" s="1"/>
  <c r="E34" i="29"/>
  <c r="G34" i="29" s="1"/>
  <c r="I33" i="29"/>
  <c r="J33" i="29" s="1"/>
  <c r="E33" i="29"/>
  <c r="G33" i="29" s="1"/>
  <c r="I32" i="29"/>
  <c r="J32" i="29" s="1"/>
  <c r="E32" i="29"/>
  <c r="G32" i="29" s="1"/>
  <c r="I31" i="29"/>
  <c r="J31" i="29" s="1"/>
  <c r="E31" i="29"/>
  <c r="G31" i="29" s="1"/>
  <c r="I30" i="29"/>
  <c r="J30" i="29" s="1"/>
  <c r="E30" i="29"/>
  <c r="G30" i="29" s="1"/>
  <c r="I29" i="29"/>
  <c r="J29" i="29" s="1"/>
  <c r="E29" i="29"/>
  <c r="G29" i="29" s="1"/>
  <c r="I28" i="29"/>
  <c r="J28" i="29" s="1"/>
  <c r="E28" i="29"/>
  <c r="G28" i="29" s="1"/>
  <c r="I27" i="29"/>
  <c r="J27" i="29" s="1"/>
  <c r="E27" i="29"/>
  <c r="G27" i="29" s="1"/>
  <c r="I26" i="29"/>
  <c r="J26" i="29" s="1"/>
  <c r="E26" i="29"/>
  <c r="G26" i="29" s="1"/>
  <c r="I25" i="29"/>
  <c r="J25" i="29" s="1"/>
  <c r="G25" i="29"/>
  <c r="E25" i="29"/>
  <c r="I24" i="29"/>
  <c r="J24" i="29" s="1"/>
  <c r="E24" i="29"/>
  <c r="G24" i="29" s="1"/>
  <c r="I23" i="29"/>
  <c r="J23" i="29" s="1"/>
  <c r="E23" i="29"/>
  <c r="G23" i="29" s="1"/>
  <c r="I22" i="29"/>
  <c r="J22" i="29" s="1"/>
  <c r="E22" i="29"/>
  <c r="G22" i="29" s="1"/>
  <c r="I21" i="29"/>
  <c r="J21" i="29" s="1"/>
  <c r="G21" i="29"/>
  <c r="E21" i="29"/>
  <c r="I20" i="29"/>
  <c r="J20" i="29" s="1"/>
  <c r="E20" i="29"/>
  <c r="G20" i="29" s="1"/>
  <c r="I19" i="29"/>
  <c r="J19" i="29" s="1"/>
  <c r="E19" i="29"/>
  <c r="G19" i="29" s="1"/>
  <c r="I18" i="29"/>
  <c r="J18" i="29" s="1"/>
  <c r="E18" i="29"/>
  <c r="G18" i="29" s="1"/>
  <c r="I17" i="29"/>
  <c r="J17" i="29" s="1"/>
  <c r="E17" i="29"/>
  <c r="G17" i="29" s="1"/>
  <c r="I16" i="29"/>
  <c r="J16" i="29" s="1"/>
  <c r="E16" i="29"/>
  <c r="G16" i="29" s="1"/>
  <c r="I15" i="29"/>
  <c r="J15" i="29" s="1"/>
  <c r="E15" i="29"/>
  <c r="G15" i="29" s="1"/>
  <c r="I14" i="29"/>
  <c r="J14" i="29" s="1"/>
  <c r="E14" i="29"/>
  <c r="G14" i="29" s="1"/>
  <c r="I13" i="29"/>
  <c r="J13" i="29" s="1"/>
  <c r="E13" i="29"/>
  <c r="G13" i="29" s="1"/>
  <c r="I12" i="29"/>
  <c r="J12" i="29" s="1"/>
  <c r="E12" i="29"/>
  <c r="G12" i="29" s="1"/>
  <c r="I11" i="29"/>
  <c r="J11" i="29" s="1"/>
  <c r="E11" i="29"/>
  <c r="G11" i="29" s="1"/>
  <c r="I10" i="29"/>
  <c r="J10" i="29" s="1"/>
  <c r="E10" i="29"/>
  <c r="G10" i="29" s="1"/>
  <c r="I9" i="29"/>
  <c r="J9" i="29" s="1"/>
  <c r="E9" i="29"/>
  <c r="G9" i="29" s="1"/>
  <c r="I8" i="29"/>
  <c r="J8" i="29" s="1"/>
  <c r="E8" i="29"/>
  <c r="G8" i="29" s="1"/>
  <c r="I7" i="29"/>
  <c r="J7" i="29" s="1"/>
  <c r="E7" i="29"/>
  <c r="G7" i="29" s="1"/>
  <c r="I6" i="29"/>
  <c r="J6" i="29" s="1"/>
  <c r="E6" i="29"/>
  <c r="G6" i="29" s="1"/>
  <c r="I5" i="29"/>
  <c r="J5" i="29" s="1"/>
  <c r="G5" i="29"/>
  <c r="E5" i="29"/>
  <c r="I4" i="29"/>
  <c r="J4" i="29" s="1"/>
  <c r="E4" i="29"/>
  <c r="G4" i="29" s="1"/>
  <c r="I3" i="29"/>
  <c r="J3" i="29" s="1"/>
  <c r="E3" i="29"/>
  <c r="G3" i="29" s="1"/>
  <c r="I120" i="28"/>
  <c r="J120" i="28" s="1"/>
  <c r="E120" i="28"/>
  <c r="G120" i="28" s="1"/>
  <c r="I119" i="28"/>
  <c r="J119" i="28" s="1"/>
  <c r="E119" i="28"/>
  <c r="G119" i="28" s="1"/>
  <c r="I118" i="28"/>
  <c r="J118" i="28" s="1"/>
  <c r="E118" i="28"/>
  <c r="G118" i="28" s="1"/>
  <c r="I117" i="28"/>
  <c r="J117" i="28" s="1"/>
  <c r="E117" i="28"/>
  <c r="G117" i="28" s="1"/>
  <c r="I116" i="28"/>
  <c r="J116" i="28" s="1"/>
  <c r="E116" i="28"/>
  <c r="G116" i="28" s="1"/>
  <c r="I115" i="28"/>
  <c r="J115" i="28" s="1"/>
  <c r="E115" i="28"/>
  <c r="G115" i="28" s="1"/>
  <c r="I114" i="28"/>
  <c r="J114" i="28" s="1"/>
  <c r="E114" i="28"/>
  <c r="G114" i="28" s="1"/>
  <c r="I113" i="28"/>
  <c r="J113" i="28" s="1"/>
  <c r="E113" i="28"/>
  <c r="G113" i="28" s="1"/>
  <c r="I112" i="28"/>
  <c r="J112" i="28" s="1"/>
  <c r="E112" i="28"/>
  <c r="G112" i="28" s="1"/>
  <c r="I111" i="28"/>
  <c r="J111" i="28" s="1"/>
  <c r="E111" i="28"/>
  <c r="G111" i="28" s="1"/>
  <c r="I110" i="28"/>
  <c r="J110" i="28" s="1"/>
  <c r="E110" i="28"/>
  <c r="G110" i="28" s="1"/>
  <c r="I109" i="28"/>
  <c r="J109" i="28" s="1"/>
  <c r="E109" i="28"/>
  <c r="G109" i="28" s="1"/>
  <c r="I108" i="28"/>
  <c r="J108" i="28" s="1"/>
  <c r="G108" i="28"/>
  <c r="E108" i="28"/>
  <c r="I107" i="28"/>
  <c r="J107" i="28" s="1"/>
  <c r="E107" i="28"/>
  <c r="G107" i="28" s="1"/>
  <c r="I106" i="28"/>
  <c r="J106" i="28" s="1"/>
  <c r="E106" i="28"/>
  <c r="G106" i="28" s="1"/>
  <c r="I105" i="28"/>
  <c r="J105" i="28" s="1"/>
  <c r="E105" i="28"/>
  <c r="G105" i="28" s="1"/>
  <c r="I104" i="28"/>
  <c r="J104" i="28" s="1"/>
  <c r="E104" i="28"/>
  <c r="G104" i="28" s="1"/>
  <c r="I103" i="28"/>
  <c r="J103" i="28" s="1"/>
  <c r="E103" i="28"/>
  <c r="G103" i="28" s="1"/>
  <c r="I102" i="28"/>
  <c r="J102" i="28" s="1"/>
  <c r="E102" i="28"/>
  <c r="G102" i="28" s="1"/>
  <c r="I101" i="28"/>
  <c r="J101" i="28" s="1"/>
  <c r="E101" i="28"/>
  <c r="G101" i="28" s="1"/>
  <c r="I100" i="28"/>
  <c r="J100" i="28" s="1"/>
  <c r="E100" i="28"/>
  <c r="G100" i="28" s="1"/>
  <c r="I99" i="28"/>
  <c r="J99" i="28" s="1"/>
  <c r="E99" i="28"/>
  <c r="G99" i="28" s="1"/>
  <c r="I98" i="28"/>
  <c r="J98" i="28" s="1"/>
  <c r="E98" i="28"/>
  <c r="G98" i="28" s="1"/>
  <c r="I97" i="28"/>
  <c r="J97" i="28" s="1"/>
  <c r="E97" i="28"/>
  <c r="G97" i="28" s="1"/>
  <c r="I96" i="28"/>
  <c r="J96" i="28" s="1"/>
  <c r="E96" i="28"/>
  <c r="G96" i="28" s="1"/>
  <c r="I95" i="28"/>
  <c r="J95" i="28" s="1"/>
  <c r="E95" i="28"/>
  <c r="G95" i="28" s="1"/>
  <c r="I94" i="28"/>
  <c r="J94" i="28" s="1"/>
  <c r="E94" i="28"/>
  <c r="G94" i="28" s="1"/>
  <c r="I93" i="28"/>
  <c r="J93" i="28" s="1"/>
  <c r="E93" i="28"/>
  <c r="G93" i="28" s="1"/>
  <c r="I92" i="28"/>
  <c r="J92" i="28" s="1"/>
  <c r="E92" i="28"/>
  <c r="G92" i="28" s="1"/>
  <c r="I91" i="28"/>
  <c r="J91" i="28" s="1"/>
  <c r="E91" i="28"/>
  <c r="G91" i="28" s="1"/>
  <c r="I90" i="28"/>
  <c r="J90" i="28" s="1"/>
  <c r="E90" i="28"/>
  <c r="G90" i="28" s="1"/>
  <c r="I89" i="28"/>
  <c r="J89" i="28" s="1"/>
  <c r="E89" i="28"/>
  <c r="G89" i="28" s="1"/>
  <c r="J83" i="28"/>
  <c r="I83" i="28"/>
  <c r="E83" i="28"/>
  <c r="G83" i="28" s="1"/>
  <c r="I82" i="28"/>
  <c r="J82" i="28" s="1"/>
  <c r="E82" i="28"/>
  <c r="G82" i="28" s="1"/>
  <c r="I81" i="28"/>
  <c r="J81" i="28" s="1"/>
  <c r="E81" i="28"/>
  <c r="G81" i="28" s="1"/>
  <c r="I80" i="28"/>
  <c r="J80" i="28" s="1"/>
  <c r="E80" i="28"/>
  <c r="G80" i="28" s="1"/>
  <c r="J79" i="28"/>
  <c r="I79" i="28"/>
  <c r="E79" i="28"/>
  <c r="G79" i="28" s="1"/>
  <c r="I78" i="28"/>
  <c r="J78" i="28" s="1"/>
  <c r="E78" i="28"/>
  <c r="G78" i="28" s="1"/>
  <c r="I77" i="28"/>
  <c r="J77" i="28" s="1"/>
  <c r="E77" i="28"/>
  <c r="G77" i="28" s="1"/>
  <c r="I76" i="28"/>
  <c r="J76" i="28" s="1"/>
  <c r="E76" i="28"/>
  <c r="G76" i="28" s="1"/>
  <c r="J75" i="28"/>
  <c r="I75" i="28"/>
  <c r="E75" i="28"/>
  <c r="G75" i="28" s="1"/>
  <c r="I74" i="28"/>
  <c r="J74" i="28" s="1"/>
  <c r="E74" i="28"/>
  <c r="G74" i="28" s="1"/>
  <c r="I73" i="28"/>
  <c r="J73" i="28" s="1"/>
  <c r="E73" i="28"/>
  <c r="G73" i="28" s="1"/>
  <c r="I72" i="28"/>
  <c r="J72" i="28" s="1"/>
  <c r="E72" i="28"/>
  <c r="G72" i="28" s="1"/>
  <c r="J71" i="28"/>
  <c r="I71" i="28"/>
  <c r="E71" i="28"/>
  <c r="G71" i="28" s="1"/>
  <c r="I70" i="28"/>
  <c r="J70" i="28" s="1"/>
  <c r="E70" i="28"/>
  <c r="G70" i="28" s="1"/>
  <c r="I69" i="28"/>
  <c r="J69" i="28" s="1"/>
  <c r="E69" i="28"/>
  <c r="G69" i="28" s="1"/>
  <c r="I68" i="28"/>
  <c r="J68" i="28" s="1"/>
  <c r="E68" i="28"/>
  <c r="G68" i="28" s="1"/>
  <c r="J67" i="28"/>
  <c r="I67" i="28"/>
  <c r="E67" i="28"/>
  <c r="G67" i="28" s="1"/>
  <c r="I66" i="28"/>
  <c r="J66" i="28" s="1"/>
  <c r="E66" i="28"/>
  <c r="G66" i="28" s="1"/>
  <c r="I65" i="28"/>
  <c r="J65" i="28" s="1"/>
  <c r="E65" i="28"/>
  <c r="G65" i="28" s="1"/>
  <c r="I64" i="28"/>
  <c r="J64" i="28" s="1"/>
  <c r="E64" i="28"/>
  <c r="G64" i="28" s="1"/>
  <c r="J63" i="28"/>
  <c r="I63" i="28"/>
  <c r="E63" i="28"/>
  <c r="G63" i="28" s="1"/>
  <c r="I62" i="28"/>
  <c r="J62" i="28" s="1"/>
  <c r="E62" i="28"/>
  <c r="G62" i="28" s="1"/>
  <c r="I61" i="28"/>
  <c r="J61" i="28" s="1"/>
  <c r="E61" i="28"/>
  <c r="G61" i="28" s="1"/>
  <c r="I60" i="28"/>
  <c r="J60" i="28" s="1"/>
  <c r="E60" i="28"/>
  <c r="G60" i="28" s="1"/>
  <c r="J59" i="28"/>
  <c r="I59" i="28"/>
  <c r="E59" i="28"/>
  <c r="G59" i="28" s="1"/>
  <c r="I58" i="28"/>
  <c r="J58" i="28" s="1"/>
  <c r="E58" i="28"/>
  <c r="G58" i="28" s="1"/>
  <c r="I57" i="28"/>
  <c r="J57" i="28" s="1"/>
  <c r="E57" i="28"/>
  <c r="G57" i="28" s="1"/>
  <c r="I56" i="28"/>
  <c r="J56" i="28" s="1"/>
  <c r="E56" i="28"/>
  <c r="G56" i="28" s="1"/>
  <c r="J55" i="28"/>
  <c r="I55" i="28"/>
  <c r="E55" i="28"/>
  <c r="G55" i="28" s="1"/>
  <c r="I54" i="28"/>
  <c r="J54" i="28" s="1"/>
  <c r="E54" i="28"/>
  <c r="G54" i="28" s="1"/>
  <c r="I53" i="28"/>
  <c r="J53" i="28" s="1"/>
  <c r="E53" i="28"/>
  <c r="G53" i="28" s="1"/>
  <c r="I52" i="28"/>
  <c r="J52" i="28" s="1"/>
  <c r="E52" i="28"/>
  <c r="G52" i="28" s="1"/>
  <c r="J51" i="28"/>
  <c r="I51" i="28"/>
  <c r="E51" i="28"/>
  <c r="G51" i="28" s="1"/>
  <c r="I50" i="28"/>
  <c r="J50" i="28" s="1"/>
  <c r="E50" i="28"/>
  <c r="G50" i="28" s="1"/>
  <c r="I49" i="28"/>
  <c r="J49" i="28" s="1"/>
  <c r="E49" i="28"/>
  <c r="G49" i="28" s="1"/>
  <c r="I48" i="28"/>
  <c r="J48" i="28" s="1"/>
  <c r="E48" i="28"/>
  <c r="G48" i="28" s="1"/>
  <c r="J47" i="28"/>
  <c r="I47" i="28"/>
  <c r="E47" i="28"/>
  <c r="G47" i="28" s="1"/>
  <c r="I46" i="28"/>
  <c r="J46" i="28" s="1"/>
  <c r="E46" i="28"/>
  <c r="G46" i="28" s="1"/>
  <c r="I45" i="28"/>
  <c r="J45" i="28" s="1"/>
  <c r="E45" i="28"/>
  <c r="G45" i="28" s="1"/>
  <c r="I44" i="28"/>
  <c r="J44" i="28" s="1"/>
  <c r="E44" i="28"/>
  <c r="G44" i="28" s="1"/>
  <c r="J43" i="28"/>
  <c r="I43" i="28"/>
  <c r="E43" i="28"/>
  <c r="G43" i="28" s="1"/>
  <c r="I42" i="28"/>
  <c r="J42" i="28" s="1"/>
  <c r="E42" i="28"/>
  <c r="G42" i="28" s="1"/>
  <c r="I41" i="28"/>
  <c r="J41" i="28" s="1"/>
  <c r="E41" i="28"/>
  <c r="G41" i="28" s="1"/>
  <c r="I40" i="28"/>
  <c r="J40" i="28" s="1"/>
  <c r="E40" i="28"/>
  <c r="G40" i="28" s="1"/>
  <c r="J39" i="28"/>
  <c r="I39" i="28"/>
  <c r="E39" i="28"/>
  <c r="G39" i="28" s="1"/>
  <c r="I38" i="28"/>
  <c r="J38" i="28" s="1"/>
  <c r="E38" i="28"/>
  <c r="G38" i="28" s="1"/>
  <c r="I37" i="28"/>
  <c r="J37" i="28" s="1"/>
  <c r="E37" i="28"/>
  <c r="G37" i="28" s="1"/>
  <c r="I36" i="28"/>
  <c r="J36" i="28" s="1"/>
  <c r="E36" i="28"/>
  <c r="G36" i="28" s="1"/>
  <c r="J35" i="28"/>
  <c r="I35" i="28"/>
  <c r="E35" i="28"/>
  <c r="G35" i="28" s="1"/>
  <c r="I34" i="28"/>
  <c r="J34" i="28" s="1"/>
  <c r="E34" i="28"/>
  <c r="G34" i="28" s="1"/>
  <c r="I33" i="28"/>
  <c r="J33" i="28" s="1"/>
  <c r="E33" i="28"/>
  <c r="G33" i="28" s="1"/>
  <c r="I32" i="28"/>
  <c r="J32" i="28" s="1"/>
  <c r="E32" i="28"/>
  <c r="G32" i="28" s="1"/>
  <c r="J31" i="28"/>
  <c r="I31" i="28"/>
  <c r="E31" i="28"/>
  <c r="G31" i="28" s="1"/>
  <c r="J30" i="28"/>
  <c r="I30" i="28"/>
  <c r="E30" i="28"/>
  <c r="G30" i="28" s="1"/>
  <c r="J29" i="28"/>
  <c r="I29" i="28"/>
  <c r="E29" i="28"/>
  <c r="G29" i="28" s="1"/>
  <c r="J28" i="28"/>
  <c r="I28" i="28"/>
  <c r="E28" i="28"/>
  <c r="G28" i="28" s="1"/>
  <c r="J27" i="28"/>
  <c r="I27" i="28"/>
  <c r="E27" i="28"/>
  <c r="G27" i="28" s="1"/>
  <c r="J26" i="28"/>
  <c r="I26" i="28"/>
  <c r="E26" i="28"/>
  <c r="G26" i="28" s="1"/>
  <c r="J25" i="28"/>
  <c r="I25" i="28"/>
  <c r="E25" i="28"/>
  <c r="G25" i="28" s="1"/>
  <c r="J24" i="28"/>
  <c r="I24" i="28"/>
  <c r="E24" i="28"/>
  <c r="G24" i="28" s="1"/>
  <c r="J23" i="28"/>
  <c r="I23" i="28"/>
  <c r="E23" i="28"/>
  <c r="G23" i="28" s="1"/>
  <c r="J22" i="28"/>
  <c r="I22" i="28"/>
  <c r="E22" i="28"/>
  <c r="G22" i="28" s="1"/>
  <c r="J21" i="28"/>
  <c r="I21" i="28"/>
  <c r="E21" i="28"/>
  <c r="G21" i="28" s="1"/>
  <c r="J20" i="28"/>
  <c r="I20" i="28"/>
  <c r="E20" i="28"/>
  <c r="G20" i="28" s="1"/>
  <c r="J19" i="28"/>
  <c r="I19" i="28"/>
  <c r="E19" i="28"/>
  <c r="G19" i="28" s="1"/>
  <c r="J18" i="28"/>
  <c r="I18" i="28"/>
  <c r="E18" i="28"/>
  <c r="G18" i="28" s="1"/>
  <c r="J17" i="28"/>
  <c r="I17" i="28"/>
  <c r="E17" i="28"/>
  <c r="G17" i="28" s="1"/>
  <c r="J16" i="28"/>
  <c r="I16" i="28"/>
  <c r="E16" i="28"/>
  <c r="G16" i="28" s="1"/>
  <c r="J15" i="28"/>
  <c r="I15" i="28"/>
  <c r="E15" i="28"/>
  <c r="G15" i="28" s="1"/>
  <c r="J14" i="28"/>
  <c r="I14" i="28"/>
  <c r="E14" i="28"/>
  <c r="G14" i="28" s="1"/>
  <c r="J13" i="28"/>
  <c r="I13" i="28"/>
  <c r="E13" i="28"/>
  <c r="G13" i="28" s="1"/>
  <c r="J12" i="28"/>
  <c r="I12" i="28"/>
  <c r="E12" i="28"/>
  <c r="G12" i="28" s="1"/>
  <c r="J11" i="28"/>
  <c r="I11" i="28"/>
  <c r="E11" i="28"/>
  <c r="G11" i="28" s="1"/>
  <c r="J10" i="28"/>
  <c r="I10" i="28"/>
  <c r="E10" i="28"/>
  <c r="G10" i="28" s="1"/>
  <c r="J9" i="28"/>
  <c r="I9" i="28"/>
  <c r="E9" i="28"/>
  <c r="G9" i="28" s="1"/>
  <c r="J8" i="28"/>
  <c r="I8" i="28"/>
  <c r="E8" i="28"/>
  <c r="G8" i="28" s="1"/>
  <c r="J7" i="28"/>
  <c r="I7" i="28"/>
  <c r="E7" i="28"/>
  <c r="G7" i="28" s="1"/>
  <c r="J6" i="28"/>
  <c r="I6" i="28"/>
  <c r="E6" i="28"/>
  <c r="G6" i="28" s="1"/>
  <c r="J5" i="28"/>
  <c r="I5" i="28"/>
  <c r="E5" i="28"/>
  <c r="G5" i="28" s="1"/>
  <c r="J4" i="28"/>
  <c r="I4" i="28"/>
  <c r="E4" i="28"/>
  <c r="G4" i="28" s="1"/>
  <c r="J3" i="28"/>
  <c r="I3" i="28"/>
  <c r="E3" i="28"/>
  <c r="G3" i="28" s="1"/>
  <c r="J65" i="27"/>
  <c r="J66" i="27"/>
  <c r="J67" i="27"/>
  <c r="J120" i="27"/>
  <c r="I120" i="27"/>
  <c r="E120" i="27"/>
  <c r="G120" i="27" s="1"/>
  <c r="J119" i="27"/>
  <c r="I119" i="27"/>
  <c r="E119" i="27"/>
  <c r="G119" i="27" s="1"/>
  <c r="J118" i="27"/>
  <c r="I118" i="27"/>
  <c r="E118" i="27"/>
  <c r="G118" i="27" s="1"/>
  <c r="J117" i="27"/>
  <c r="I117" i="27"/>
  <c r="E117" i="27"/>
  <c r="G117" i="27" s="1"/>
  <c r="J116" i="27"/>
  <c r="I116" i="27"/>
  <c r="E116" i="27"/>
  <c r="G116" i="27" s="1"/>
  <c r="J115" i="27"/>
  <c r="I115" i="27"/>
  <c r="E115" i="27"/>
  <c r="G115" i="27" s="1"/>
  <c r="J114" i="27"/>
  <c r="I114" i="27"/>
  <c r="E114" i="27"/>
  <c r="G114" i="27" s="1"/>
  <c r="J113" i="27"/>
  <c r="I113" i="27"/>
  <c r="E113" i="27"/>
  <c r="G113" i="27" s="1"/>
  <c r="J112" i="27"/>
  <c r="I112" i="27"/>
  <c r="E112" i="27"/>
  <c r="G112" i="27" s="1"/>
  <c r="J111" i="27"/>
  <c r="I111" i="27"/>
  <c r="E111" i="27"/>
  <c r="G111" i="27" s="1"/>
  <c r="J110" i="27"/>
  <c r="I110" i="27"/>
  <c r="E110" i="27"/>
  <c r="G110" i="27" s="1"/>
  <c r="J109" i="27"/>
  <c r="I109" i="27"/>
  <c r="E109" i="27"/>
  <c r="G109" i="27" s="1"/>
  <c r="J108" i="27"/>
  <c r="I108" i="27"/>
  <c r="E108" i="27"/>
  <c r="G108" i="27" s="1"/>
  <c r="J107" i="27"/>
  <c r="I107" i="27"/>
  <c r="E107" i="27"/>
  <c r="G107" i="27" s="1"/>
  <c r="J106" i="27"/>
  <c r="I106" i="27"/>
  <c r="E106" i="27"/>
  <c r="G106" i="27" s="1"/>
  <c r="J105" i="27"/>
  <c r="I105" i="27"/>
  <c r="E105" i="27"/>
  <c r="G105" i="27" s="1"/>
  <c r="J104" i="27"/>
  <c r="I104" i="27"/>
  <c r="E104" i="27"/>
  <c r="G104" i="27" s="1"/>
  <c r="J103" i="27"/>
  <c r="I103" i="27"/>
  <c r="E103" i="27"/>
  <c r="G103" i="27" s="1"/>
  <c r="J102" i="27"/>
  <c r="I102" i="27"/>
  <c r="E102" i="27"/>
  <c r="G102" i="27" s="1"/>
  <c r="J101" i="27"/>
  <c r="I101" i="27"/>
  <c r="E101" i="27"/>
  <c r="G101" i="27" s="1"/>
  <c r="J100" i="27"/>
  <c r="I100" i="27"/>
  <c r="E100" i="27"/>
  <c r="G100" i="27" s="1"/>
  <c r="J99" i="27"/>
  <c r="I99" i="27"/>
  <c r="E99" i="27"/>
  <c r="G99" i="27" s="1"/>
  <c r="J98" i="27"/>
  <c r="I98" i="27"/>
  <c r="E98" i="27"/>
  <c r="G98" i="27" s="1"/>
  <c r="J97" i="27"/>
  <c r="I97" i="27"/>
  <c r="E97" i="27"/>
  <c r="G97" i="27" s="1"/>
  <c r="J96" i="27"/>
  <c r="I96" i="27"/>
  <c r="E96" i="27"/>
  <c r="G96" i="27" s="1"/>
  <c r="J95" i="27"/>
  <c r="I95" i="27"/>
  <c r="E95" i="27"/>
  <c r="G95" i="27" s="1"/>
  <c r="J94" i="27"/>
  <c r="I94" i="27"/>
  <c r="E94" i="27"/>
  <c r="G94" i="27" s="1"/>
  <c r="J93" i="27"/>
  <c r="I93" i="27"/>
  <c r="E93" i="27"/>
  <c r="G93" i="27" s="1"/>
  <c r="J92" i="27"/>
  <c r="I92" i="27"/>
  <c r="E92" i="27"/>
  <c r="G92" i="27" s="1"/>
  <c r="J91" i="27"/>
  <c r="I91" i="27"/>
  <c r="E91" i="27"/>
  <c r="G91" i="27" s="1"/>
  <c r="J90" i="27"/>
  <c r="I90" i="27"/>
  <c r="E90" i="27"/>
  <c r="G90" i="27" s="1"/>
  <c r="J89" i="27"/>
  <c r="I89" i="27"/>
  <c r="E89" i="27"/>
  <c r="G89" i="27" s="1"/>
  <c r="I83" i="27"/>
  <c r="J83" i="27" s="1"/>
  <c r="E83" i="27"/>
  <c r="G83" i="27" s="1"/>
  <c r="I82" i="27"/>
  <c r="J82" i="27" s="1"/>
  <c r="E82" i="27"/>
  <c r="G82" i="27" s="1"/>
  <c r="I81" i="27"/>
  <c r="J81" i="27" s="1"/>
  <c r="G81" i="27"/>
  <c r="E81" i="27"/>
  <c r="I80" i="27"/>
  <c r="J80" i="27" s="1"/>
  <c r="E80" i="27"/>
  <c r="G80" i="27" s="1"/>
  <c r="I79" i="27"/>
  <c r="J79" i="27" s="1"/>
  <c r="E79" i="27"/>
  <c r="G79" i="27" s="1"/>
  <c r="I78" i="27"/>
  <c r="J78" i="27" s="1"/>
  <c r="E78" i="27"/>
  <c r="G78" i="27" s="1"/>
  <c r="I77" i="27"/>
  <c r="J77" i="27" s="1"/>
  <c r="E77" i="27"/>
  <c r="G77" i="27" s="1"/>
  <c r="I76" i="27"/>
  <c r="J76" i="27" s="1"/>
  <c r="E76" i="27"/>
  <c r="G76" i="27" s="1"/>
  <c r="I75" i="27"/>
  <c r="J75" i="27" s="1"/>
  <c r="E75" i="27"/>
  <c r="G75" i="27" s="1"/>
  <c r="I74" i="27"/>
  <c r="J74" i="27" s="1"/>
  <c r="E74" i="27"/>
  <c r="G74" i="27" s="1"/>
  <c r="I73" i="27"/>
  <c r="J73" i="27" s="1"/>
  <c r="E73" i="27"/>
  <c r="G73" i="27" s="1"/>
  <c r="I72" i="27"/>
  <c r="J72" i="27" s="1"/>
  <c r="E72" i="27"/>
  <c r="G72" i="27" s="1"/>
  <c r="I71" i="27"/>
  <c r="J71" i="27" s="1"/>
  <c r="E71" i="27"/>
  <c r="G71" i="27" s="1"/>
  <c r="I70" i="27"/>
  <c r="J70" i="27" s="1"/>
  <c r="E70" i="27"/>
  <c r="G70" i="27" s="1"/>
  <c r="I69" i="27"/>
  <c r="J69" i="27" s="1"/>
  <c r="E69" i="27"/>
  <c r="G69" i="27" s="1"/>
  <c r="I68" i="27"/>
  <c r="J68" i="27" s="1"/>
  <c r="E68" i="27"/>
  <c r="G68" i="27" s="1"/>
  <c r="I67" i="27"/>
  <c r="E67" i="27"/>
  <c r="G67" i="27" s="1"/>
  <c r="I66" i="27"/>
  <c r="E66" i="27"/>
  <c r="G66" i="27" s="1"/>
  <c r="I65" i="27"/>
  <c r="E65" i="27"/>
  <c r="G65" i="27" s="1"/>
  <c r="I64" i="27"/>
  <c r="J64" i="27" s="1"/>
  <c r="E64" i="27"/>
  <c r="G64" i="27" s="1"/>
  <c r="I63" i="27"/>
  <c r="J63" i="27" s="1"/>
  <c r="E63" i="27"/>
  <c r="G63" i="27" s="1"/>
  <c r="I62" i="27"/>
  <c r="J62" i="27" s="1"/>
  <c r="E62" i="27"/>
  <c r="G62" i="27" s="1"/>
  <c r="I61" i="27"/>
  <c r="J61" i="27" s="1"/>
  <c r="E61" i="27"/>
  <c r="G61" i="27" s="1"/>
  <c r="I60" i="27"/>
  <c r="J60" i="27" s="1"/>
  <c r="G60" i="27"/>
  <c r="E60" i="27"/>
  <c r="I59" i="27"/>
  <c r="J59" i="27" s="1"/>
  <c r="E59" i="27"/>
  <c r="G59" i="27" s="1"/>
  <c r="I58" i="27"/>
  <c r="J58" i="27" s="1"/>
  <c r="E58" i="27"/>
  <c r="G58" i="27" s="1"/>
  <c r="I57" i="27"/>
  <c r="J57" i="27" s="1"/>
  <c r="E57" i="27"/>
  <c r="G57" i="27" s="1"/>
  <c r="I56" i="27"/>
  <c r="J56" i="27" s="1"/>
  <c r="E56" i="27"/>
  <c r="G56" i="27" s="1"/>
  <c r="I55" i="27"/>
  <c r="J55" i="27" s="1"/>
  <c r="E55" i="27"/>
  <c r="G55" i="27" s="1"/>
  <c r="I54" i="27"/>
  <c r="J54" i="27" s="1"/>
  <c r="E54" i="27"/>
  <c r="G54" i="27" s="1"/>
  <c r="I53" i="27"/>
  <c r="J53" i="27" s="1"/>
  <c r="E53" i="27"/>
  <c r="G53" i="27" s="1"/>
  <c r="I52" i="27"/>
  <c r="J52" i="27" s="1"/>
  <c r="E52" i="27"/>
  <c r="G52" i="27" s="1"/>
  <c r="I51" i="27"/>
  <c r="J51" i="27" s="1"/>
  <c r="E51" i="27"/>
  <c r="G51" i="27" s="1"/>
  <c r="I50" i="27"/>
  <c r="J50" i="27" s="1"/>
  <c r="E50" i="27"/>
  <c r="G50" i="27" s="1"/>
  <c r="I49" i="27"/>
  <c r="J49" i="27" s="1"/>
  <c r="E49" i="27"/>
  <c r="G49" i="27" s="1"/>
  <c r="I48" i="27"/>
  <c r="J48" i="27" s="1"/>
  <c r="E48" i="27"/>
  <c r="G48" i="27" s="1"/>
  <c r="I47" i="27"/>
  <c r="J47" i="27" s="1"/>
  <c r="E47" i="27"/>
  <c r="G47" i="27" s="1"/>
  <c r="I46" i="27"/>
  <c r="J46" i="27" s="1"/>
  <c r="E46" i="27"/>
  <c r="G46" i="27" s="1"/>
  <c r="I45" i="27"/>
  <c r="J45" i="27" s="1"/>
  <c r="E45" i="27"/>
  <c r="G45" i="27" s="1"/>
  <c r="I44" i="27"/>
  <c r="J44" i="27" s="1"/>
  <c r="G44" i="27"/>
  <c r="E44" i="27"/>
  <c r="I43" i="27"/>
  <c r="J43" i="27" s="1"/>
  <c r="E43" i="27"/>
  <c r="G43" i="27" s="1"/>
  <c r="I42" i="27"/>
  <c r="J42" i="27" s="1"/>
  <c r="E42" i="27"/>
  <c r="G42" i="27" s="1"/>
  <c r="I41" i="27"/>
  <c r="J41" i="27" s="1"/>
  <c r="E41" i="27"/>
  <c r="G41" i="27" s="1"/>
  <c r="I40" i="27"/>
  <c r="J40" i="27" s="1"/>
  <c r="E40" i="27"/>
  <c r="G40" i="27" s="1"/>
  <c r="I39" i="27"/>
  <c r="J39" i="27" s="1"/>
  <c r="E39" i="27"/>
  <c r="G39" i="27" s="1"/>
  <c r="I38" i="27"/>
  <c r="J38" i="27" s="1"/>
  <c r="E38" i="27"/>
  <c r="G38" i="27" s="1"/>
  <c r="I37" i="27"/>
  <c r="J37" i="27" s="1"/>
  <c r="E37" i="27"/>
  <c r="G37" i="27" s="1"/>
  <c r="I36" i="27"/>
  <c r="J36" i="27" s="1"/>
  <c r="E36" i="27"/>
  <c r="G36" i="27" s="1"/>
  <c r="I35" i="27"/>
  <c r="J35" i="27" s="1"/>
  <c r="E35" i="27"/>
  <c r="G35" i="27" s="1"/>
  <c r="I34" i="27"/>
  <c r="J34" i="27" s="1"/>
  <c r="E34" i="27"/>
  <c r="G34" i="27" s="1"/>
  <c r="I33" i="27"/>
  <c r="J33" i="27" s="1"/>
  <c r="E33" i="27"/>
  <c r="G33" i="27" s="1"/>
  <c r="I32" i="27"/>
  <c r="J32" i="27" s="1"/>
  <c r="E32" i="27"/>
  <c r="G32" i="27" s="1"/>
  <c r="J31" i="27"/>
  <c r="I31" i="27"/>
  <c r="E31" i="27"/>
  <c r="G31" i="27" s="1"/>
  <c r="J30" i="27"/>
  <c r="I30" i="27"/>
  <c r="E30" i="27"/>
  <c r="G30" i="27" s="1"/>
  <c r="J29" i="27"/>
  <c r="I29" i="27"/>
  <c r="E29" i="27"/>
  <c r="G29" i="27" s="1"/>
  <c r="J28" i="27"/>
  <c r="I28" i="27"/>
  <c r="E28" i="27"/>
  <c r="G28" i="27" s="1"/>
  <c r="J27" i="27"/>
  <c r="I27" i="27"/>
  <c r="E27" i="27"/>
  <c r="G27" i="27" s="1"/>
  <c r="J26" i="27"/>
  <c r="I26" i="27"/>
  <c r="E26" i="27"/>
  <c r="G26" i="27" s="1"/>
  <c r="J25" i="27"/>
  <c r="I25" i="27"/>
  <c r="E25" i="27"/>
  <c r="G25" i="27" s="1"/>
  <c r="J24" i="27"/>
  <c r="I24" i="27"/>
  <c r="E24" i="27"/>
  <c r="G24" i="27" s="1"/>
  <c r="J23" i="27"/>
  <c r="I23" i="27"/>
  <c r="E23" i="27"/>
  <c r="G23" i="27" s="1"/>
  <c r="J22" i="27"/>
  <c r="I22" i="27"/>
  <c r="E22" i="27"/>
  <c r="G22" i="27" s="1"/>
  <c r="J21" i="27"/>
  <c r="I21" i="27"/>
  <c r="E21" i="27"/>
  <c r="G21" i="27" s="1"/>
  <c r="J20" i="27"/>
  <c r="I20" i="27"/>
  <c r="E20" i="27"/>
  <c r="G20" i="27" s="1"/>
  <c r="J19" i="27"/>
  <c r="I19" i="27"/>
  <c r="E19" i="27"/>
  <c r="G19" i="27" s="1"/>
  <c r="J18" i="27"/>
  <c r="I18" i="27"/>
  <c r="E18" i="27"/>
  <c r="G18" i="27" s="1"/>
  <c r="J17" i="27"/>
  <c r="I17" i="27"/>
  <c r="E17" i="27"/>
  <c r="G17" i="27" s="1"/>
  <c r="J16" i="27"/>
  <c r="I16" i="27"/>
  <c r="E16" i="27"/>
  <c r="G16" i="27" s="1"/>
  <c r="J15" i="27"/>
  <c r="I15" i="27"/>
  <c r="E15" i="27"/>
  <c r="G15" i="27" s="1"/>
  <c r="J14" i="27"/>
  <c r="I14" i="27"/>
  <c r="E14" i="27"/>
  <c r="G14" i="27" s="1"/>
  <c r="J13" i="27"/>
  <c r="I13" i="27"/>
  <c r="E13" i="27"/>
  <c r="G13" i="27" s="1"/>
  <c r="J12" i="27"/>
  <c r="I12" i="27"/>
  <c r="E12" i="27"/>
  <c r="G12" i="27" s="1"/>
  <c r="J11" i="27"/>
  <c r="I11" i="27"/>
  <c r="E11" i="27"/>
  <c r="G11" i="27" s="1"/>
  <c r="J10" i="27"/>
  <c r="I10" i="27"/>
  <c r="E10" i="27"/>
  <c r="G10" i="27" s="1"/>
  <c r="J9" i="27"/>
  <c r="I9" i="27"/>
  <c r="E9" i="27"/>
  <c r="G9" i="27" s="1"/>
  <c r="J8" i="27"/>
  <c r="I8" i="27"/>
  <c r="E8" i="27"/>
  <c r="G8" i="27" s="1"/>
  <c r="J7" i="27"/>
  <c r="I7" i="27"/>
  <c r="E7" i="27"/>
  <c r="G7" i="27" s="1"/>
  <c r="J6" i="27"/>
  <c r="I6" i="27"/>
  <c r="E6" i="27"/>
  <c r="G6" i="27" s="1"/>
  <c r="J5" i="27"/>
  <c r="I5" i="27"/>
  <c r="E5" i="27"/>
  <c r="G5" i="27" s="1"/>
  <c r="J4" i="27"/>
  <c r="I4" i="27"/>
  <c r="E4" i="27"/>
  <c r="G4" i="27" s="1"/>
  <c r="J3" i="27"/>
  <c r="I3" i="27"/>
  <c r="E3" i="27"/>
  <c r="G3" i="27" s="1"/>
  <c r="I120" i="26"/>
  <c r="J120" i="26" s="1"/>
  <c r="E120" i="26"/>
  <c r="G120" i="26" s="1"/>
  <c r="I119" i="26"/>
  <c r="J119" i="26" s="1"/>
  <c r="E119" i="26"/>
  <c r="G119" i="26" s="1"/>
  <c r="J118" i="26"/>
  <c r="I118" i="26"/>
  <c r="E118" i="26"/>
  <c r="G118" i="26" s="1"/>
  <c r="I117" i="26"/>
  <c r="J117" i="26" s="1"/>
  <c r="E117" i="26"/>
  <c r="G117" i="26" s="1"/>
  <c r="I116" i="26"/>
  <c r="J116" i="26" s="1"/>
  <c r="E116" i="26"/>
  <c r="G116" i="26" s="1"/>
  <c r="I115" i="26"/>
  <c r="J115" i="26" s="1"/>
  <c r="E115" i="26"/>
  <c r="G115" i="26" s="1"/>
  <c r="J114" i="26"/>
  <c r="I114" i="26"/>
  <c r="E114" i="26"/>
  <c r="G114" i="26" s="1"/>
  <c r="I113" i="26"/>
  <c r="J113" i="26" s="1"/>
  <c r="E113" i="26"/>
  <c r="G113" i="26" s="1"/>
  <c r="I112" i="26"/>
  <c r="J112" i="26" s="1"/>
  <c r="E112" i="26"/>
  <c r="G112" i="26" s="1"/>
  <c r="I111" i="26"/>
  <c r="J111" i="26" s="1"/>
  <c r="E111" i="26"/>
  <c r="G111" i="26" s="1"/>
  <c r="J110" i="26"/>
  <c r="I110" i="26"/>
  <c r="E110" i="26"/>
  <c r="G110" i="26" s="1"/>
  <c r="I109" i="26"/>
  <c r="J109" i="26" s="1"/>
  <c r="E109" i="26"/>
  <c r="G109" i="26" s="1"/>
  <c r="I108" i="26"/>
  <c r="J108" i="26" s="1"/>
  <c r="E108" i="26"/>
  <c r="G108" i="26" s="1"/>
  <c r="I107" i="26"/>
  <c r="J107" i="26" s="1"/>
  <c r="E107" i="26"/>
  <c r="G107" i="26" s="1"/>
  <c r="J106" i="26"/>
  <c r="I106" i="26"/>
  <c r="E106" i="26"/>
  <c r="G106" i="26" s="1"/>
  <c r="I105" i="26"/>
  <c r="J105" i="26" s="1"/>
  <c r="E105" i="26"/>
  <c r="G105" i="26" s="1"/>
  <c r="I104" i="26"/>
  <c r="J104" i="26" s="1"/>
  <c r="E104" i="26"/>
  <c r="G104" i="26" s="1"/>
  <c r="I103" i="26"/>
  <c r="J103" i="26" s="1"/>
  <c r="E103" i="26"/>
  <c r="G103" i="26" s="1"/>
  <c r="J102" i="26"/>
  <c r="I102" i="26"/>
  <c r="E102" i="26"/>
  <c r="G102" i="26" s="1"/>
  <c r="I101" i="26"/>
  <c r="J101" i="26" s="1"/>
  <c r="E101" i="26"/>
  <c r="G101" i="26" s="1"/>
  <c r="I100" i="26"/>
  <c r="J100" i="26" s="1"/>
  <c r="E100" i="26"/>
  <c r="G100" i="26" s="1"/>
  <c r="I99" i="26"/>
  <c r="J99" i="26" s="1"/>
  <c r="E99" i="26"/>
  <c r="G99" i="26" s="1"/>
  <c r="J98" i="26"/>
  <c r="I98" i="26"/>
  <c r="E98" i="26"/>
  <c r="G98" i="26" s="1"/>
  <c r="I97" i="26"/>
  <c r="J97" i="26" s="1"/>
  <c r="E97" i="26"/>
  <c r="G97" i="26" s="1"/>
  <c r="I96" i="26"/>
  <c r="J96" i="26" s="1"/>
  <c r="E96" i="26"/>
  <c r="G96" i="26" s="1"/>
  <c r="I95" i="26"/>
  <c r="J95" i="26" s="1"/>
  <c r="E95" i="26"/>
  <c r="G95" i="26" s="1"/>
  <c r="J94" i="26"/>
  <c r="I94" i="26"/>
  <c r="E94" i="26"/>
  <c r="G94" i="26" s="1"/>
  <c r="I93" i="26"/>
  <c r="J93" i="26" s="1"/>
  <c r="E93" i="26"/>
  <c r="G93" i="26" s="1"/>
  <c r="I92" i="26"/>
  <c r="J92" i="26" s="1"/>
  <c r="E92" i="26"/>
  <c r="G92" i="26" s="1"/>
  <c r="I91" i="26"/>
  <c r="J91" i="26" s="1"/>
  <c r="E91" i="26"/>
  <c r="G91" i="26" s="1"/>
  <c r="J90" i="26"/>
  <c r="I90" i="26"/>
  <c r="E90" i="26"/>
  <c r="G90" i="26" s="1"/>
  <c r="I89" i="26"/>
  <c r="J89" i="26" s="1"/>
  <c r="E89" i="26"/>
  <c r="G89" i="26" s="1"/>
  <c r="I83" i="26"/>
  <c r="J83" i="26" s="1"/>
  <c r="E83" i="26"/>
  <c r="G83" i="26" s="1"/>
  <c r="I82" i="26"/>
  <c r="J82" i="26" s="1"/>
  <c r="G82" i="26"/>
  <c r="E82" i="26"/>
  <c r="I81" i="26"/>
  <c r="J81" i="26" s="1"/>
  <c r="E81" i="26"/>
  <c r="G81" i="26" s="1"/>
  <c r="I80" i="26"/>
  <c r="J80" i="26" s="1"/>
  <c r="E80" i="26"/>
  <c r="G80" i="26" s="1"/>
  <c r="I79" i="26"/>
  <c r="J79" i="26" s="1"/>
  <c r="E79" i="26"/>
  <c r="G79" i="26" s="1"/>
  <c r="I78" i="26"/>
  <c r="J78" i="26" s="1"/>
  <c r="E78" i="26"/>
  <c r="G78" i="26" s="1"/>
  <c r="I77" i="26"/>
  <c r="J77" i="26" s="1"/>
  <c r="E77" i="26"/>
  <c r="G77" i="26" s="1"/>
  <c r="I76" i="26"/>
  <c r="J76" i="26" s="1"/>
  <c r="E76" i="26"/>
  <c r="G76" i="26" s="1"/>
  <c r="I75" i="26"/>
  <c r="J75" i="26" s="1"/>
  <c r="E75" i="26"/>
  <c r="G75" i="26" s="1"/>
  <c r="I74" i="26"/>
  <c r="J74" i="26" s="1"/>
  <c r="E74" i="26"/>
  <c r="G74" i="26" s="1"/>
  <c r="I73" i="26"/>
  <c r="J73" i="26" s="1"/>
  <c r="E73" i="26"/>
  <c r="G73" i="26" s="1"/>
  <c r="I72" i="26"/>
  <c r="J72" i="26" s="1"/>
  <c r="E72" i="26"/>
  <c r="G72" i="26" s="1"/>
  <c r="I71" i="26"/>
  <c r="J71" i="26" s="1"/>
  <c r="E71" i="26"/>
  <c r="G71" i="26" s="1"/>
  <c r="I70" i="26"/>
  <c r="J70" i="26" s="1"/>
  <c r="E70" i="26"/>
  <c r="G70" i="26" s="1"/>
  <c r="I69" i="26"/>
  <c r="J69" i="26" s="1"/>
  <c r="E69" i="26"/>
  <c r="G69" i="26" s="1"/>
  <c r="I68" i="26"/>
  <c r="J68" i="26" s="1"/>
  <c r="E68" i="26"/>
  <c r="G68" i="26" s="1"/>
  <c r="I67" i="26"/>
  <c r="J67" i="26" s="1"/>
  <c r="E67" i="26"/>
  <c r="G67" i="26" s="1"/>
  <c r="I66" i="26"/>
  <c r="J66" i="26" s="1"/>
  <c r="G66" i="26"/>
  <c r="E66" i="26"/>
  <c r="I65" i="26"/>
  <c r="J65" i="26" s="1"/>
  <c r="E65" i="26"/>
  <c r="G65" i="26" s="1"/>
  <c r="I64" i="26"/>
  <c r="J64" i="26" s="1"/>
  <c r="E64" i="26"/>
  <c r="G64" i="26" s="1"/>
  <c r="I63" i="26"/>
  <c r="J63" i="26" s="1"/>
  <c r="E63" i="26"/>
  <c r="G63" i="26" s="1"/>
  <c r="I62" i="26"/>
  <c r="J62" i="26" s="1"/>
  <c r="E62" i="26"/>
  <c r="G62" i="26" s="1"/>
  <c r="I61" i="26"/>
  <c r="J61" i="26" s="1"/>
  <c r="E61" i="26"/>
  <c r="G61" i="26" s="1"/>
  <c r="I60" i="26"/>
  <c r="J60" i="26" s="1"/>
  <c r="E60" i="26"/>
  <c r="G60" i="26" s="1"/>
  <c r="I59" i="26"/>
  <c r="J59" i="26" s="1"/>
  <c r="E59" i="26"/>
  <c r="G59" i="26" s="1"/>
  <c r="I58" i="26"/>
  <c r="J58" i="26" s="1"/>
  <c r="E58" i="26"/>
  <c r="G58" i="26" s="1"/>
  <c r="I57" i="26"/>
  <c r="J57" i="26" s="1"/>
  <c r="E57" i="26"/>
  <c r="G57" i="26" s="1"/>
  <c r="I56" i="26"/>
  <c r="J56" i="26" s="1"/>
  <c r="E56" i="26"/>
  <c r="G56" i="26" s="1"/>
  <c r="I55" i="26"/>
  <c r="J55" i="26" s="1"/>
  <c r="E55" i="26"/>
  <c r="G55" i="26" s="1"/>
  <c r="I54" i="26"/>
  <c r="J54" i="26" s="1"/>
  <c r="E54" i="26"/>
  <c r="G54" i="26" s="1"/>
  <c r="I53" i="26"/>
  <c r="J53" i="26" s="1"/>
  <c r="E53" i="26"/>
  <c r="G53" i="26" s="1"/>
  <c r="I52" i="26"/>
  <c r="J52" i="26" s="1"/>
  <c r="E52" i="26"/>
  <c r="G52" i="26" s="1"/>
  <c r="I51" i="26"/>
  <c r="J51" i="26" s="1"/>
  <c r="E51" i="26"/>
  <c r="G51" i="26" s="1"/>
  <c r="I50" i="26"/>
  <c r="J50" i="26" s="1"/>
  <c r="E50" i="26"/>
  <c r="G50" i="26" s="1"/>
  <c r="I49" i="26"/>
  <c r="J49" i="26" s="1"/>
  <c r="E49" i="26"/>
  <c r="G49" i="26" s="1"/>
  <c r="I48" i="26"/>
  <c r="J48" i="26" s="1"/>
  <c r="E48" i="26"/>
  <c r="G48" i="26" s="1"/>
  <c r="I47" i="26"/>
  <c r="J47" i="26" s="1"/>
  <c r="E47" i="26"/>
  <c r="G47" i="26" s="1"/>
  <c r="I46" i="26"/>
  <c r="J46" i="26" s="1"/>
  <c r="E46" i="26"/>
  <c r="G46" i="26" s="1"/>
  <c r="I45" i="26"/>
  <c r="J45" i="26" s="1"/>
  <c r="E45" i="26"/>
  <c r="G45" i="26" s="1"/>
  <c r="I44" i="26"/>
  <c r="J44" i="26" s="1"/>
  <c r="E44" i="26"/>
  <c r="G44" i="26" s="1"/>
  <c r="I43" i="26"/>
  <c r="J43" i="26" s="1"/>
  <c r="E43" i="26"/>
  <c r="G43" i="26" s="1"/>
  <c r="I42" i="26"/>
  <c r="J42" i="26" s="1"/>
  <c r="E42" i="26"/>
  <c r="G42" i="26" s="1"/>
  <c r="I41" i="26"/>
  <c r="J41" i="26" s="1"/>
  <c r="E41" i="26"/>
  <c r="G41" i="26" s="1"/>
  <c r="I40" i="26"/>
  <c r="J40" i="26" s="1"/>
  <c r="E40" i="26"/>
  <c r="G40" i="26" s="1"/>
  <c r="I39" i="26"/>
  <c r="J39" i="26" s="1"/>
  <c r="E39" i="26"/>
  <c r="G39" i="26" s="1"/>
  <c r="I38" i="26"/>
  <c r="J38" i="26" s="1"/>
  <c r="E38" i="26"/>
  <c r="G38" i="26" s="1"/>
  <c r="I37" i="26"/>
  <c r="J37" i="26" s="1"/>
  <c r="E37" i="26"/>
  <c r="G37" i="26" s="1"/>
  <c r="I36" i="26"/>
  <c r="J36" i="26" s="1"/>
  <c r="E36" i="26"/>
  <c r="G36" i="26" s="1"/>
  <c r="I35" i="26"/>
  <c r="J35" i="26" s="1"/>
  <c r="E35" i="26"/>
  <c r="G35" i="26" s="1"/>
  <c r="I34" i="26"/>
  <c r="J34" i="26" s="1"/>
  <c r="E34" i="26"/>
  <c r="G34" i="26" s="1"/>
  <c r="I33" i="26"/>
  <c r="J33" i="26" s="1"/>
  <c r="E33" i="26"/>
  <c r="G33" i="26" s="1"/>
  <c r="I32" i="26"/>
  <c r="J32" i="26" s="1"/>
  <c r="E32" i="26"/>
  <c r="G32" i="26" s="1"/>
  <c r="J31" i="26"/>
  <c r="I31" i="26"/>
  <c r="E31" i="26"/>
  <c r="G31" i="26" s="1"/>
  <c r="J30" i="26"/>
  <c r="I30" i="26"/>
  <c r="E30" i="26"/>
  <c r="G30" i="26" s="1"/>
  <c r="J29" i="26"/>
  <c r="I29" i="26"/>
  <c r="E29" i="26"/>
  <c r="G29" i="26" s="1"/>
  <c r="J28" i="26"/>
  <c r="I28" i="26"/>
  <c r="E28" i="26"/>
  <c r="G28" i="26" s="1"/>
  <c r="J27" i="26"/>
  <c r="I27" i="26"/>
  <c r="E27" i="26"/>
  <c r="G27" i="26" s="1"/>
  <c r="J26" i="26"/>
  <c r="I26" i="26"/>
  <c r="E26" i="26"/>
  <c r="G26" i="26" s="1"/>
  <c r="J25" i="26"/>
  <c r="I25" i="26"/>
  <c r="E25" i="26"/>
  <c r="G25" i="26" s="1"/>
  <c r="J24" i="26"/>
  <c r="I24" i="26"/>
  <c r="E24" i="26"/>
  <c r="G24" i="26" s="1"/>
  <c r="J23" i="26"/>
  <c r="I23" i="26"/>
  <c r="E23" i="26"/>
  <c r="G23" i="26" s="1"/>
  <c r="J22" i="26"/>
  <c r="I22" i="26"/>
  <c r="E22" i="26"/>
  <c r="G22" i="26" s="1"/>
  <c r="J21" i="26"/>
  <c r="I21" i="26"/>
  <c r="E21" i="26"/>
  <c r="G21" i="26" s="1"/>
  <c r="J20" i="26"/>
  <c r="I20" i="26"/>
  <c r="E20" i="26"/>
  <c r="G20" i="26" s="1"/>
  <c r="J19" i="26"/>
  <c r="I19" i="26"/>
  <c r="E19" i="26"/>
  <c r="G19" i="26" s="1"/>
  <c r="J18" i="26"/>
  <c r="I18" i="26"/>
  <c r="E18" i="26"/>
  <c r="G18" i="26" s="1"/>
  <c r="J17" i="26"/>
  <c r="I17" i="26"/>
  <c r="E17" i="26"/>
  <c r="G17" i="26" s="1"/>
  <c r="J16" i="26"/>
  <c r="I16" i="26"/>
  <c r="E16" i="26"/>
  <c r="G16" i="26" s="1"/>
  <c r="J15" i="26"/>
  <c r="I15" i="26"/>
  <c r="E15" i="26"/>
  <c r="G15" i="26" s="1"/>
  <c r="J14" i="26"/>
  <c r="I14" i="26"/>
  <c r="E14" i="26"/>
  <c r="G14" i="26" s="1"/>
  <c r="J13" i="26"/>
  <c r="I13" i="26"/>
  <c r="E13" i="26"/>
  <c r="G13" i="26" s="1"/>
  <c r="J12" i="26"/>
  <c r="I12" i="26"/>
  <c r="E12" i="26"/>
  <c r="G12" i="26" s="1"/>
  <c r="J11" i="26"/>
  <c r="I11" i="26"/>
  <c r="E11" i="26"/>
  <c r="G11" i="26" s="1"/>
  <c r="J10" i="26"/>
  <c r="I10" i="26"/>
  <c r="E10" i="26"/>
  <c r="G10" i="26" s="1"/>
  <c r="J9" i="26"/>
  <c r="I9" i="26"/>
  <c r="E9" i="26"/>
  <c r="G9" i="26" s="1"/>
  <c r="J8" i="26"/>
  <c r="I8" i="26"/>
  <c r="E8" i="26"/>
  <c r="G8" i="26" s="1"/>
  <c r="J7" i="26"/>
  <c r="I7" i="26"/>
  <c r="E7" i="26"/>
  <c r="G7" i="26" s="1"/>
  <c r="J6" i="26"/>
  <c r="I6" i="26"/>
  <c r="E6" i="26"/>
  <c r="G6" i="26" s="1"/>
  <c r="J5" i="26"/>
  <c r="I5" i="26"/>
  <c r="E5" i="26"/>
  <c r="G5" i="26" s="1"/>
  <c r="J4" i="26"/>
  <c r="I4" i="26"/>
  <c r="E4" i="26"/>
  <c r="G4" i="26" s="1"/>
  <c r="J3" i="26"/>
  <c r="I3" i="26"/>
  <c r="E3" i="26"/>
  <c r="G3" i="26" s="1"/>
  <c r="J120" i="25"/>
  <c r="I120" i="25"/>
  <c r="E120" i="25"/>
  <c r="G120" i="25" s="1"/>
  <c r="J119" i="25"/>
  <c r="I119" i="25"/>
  <c r="E119" i="25"/>
  <c r="G119" i="25" s="1"/>
  <c r="J118" i="25"/>
  <c r="I118" i="25"/>
  <c r="E118" i="25"/>
  <c r="G118" i="25" s="1"/>
  <c r="J117" i="25"/>
  <c r="I117" i="25"/>
  <c r="E117" i="25"/>
  <c r="G117" i="25" s="1"/>
  <c r="J116" i="25"/>
  <c r="I116" i="25"/>
  <c r="E116" i="25"/>
  <c r="G116" i="25" s="1"/>
  <c r="J115" i="25"/>
  <c r="I115" i="25"/>
  <c r="E115" i="25"/>
  <c r="G115" i="25" s="1"/>
  <c r="J114" i="25"/>
  <c r="I114" i="25"/>
  <c r="E114" i="25"/>
  <c r="G114" i="25" s="1"/>
  <c r="J113" i="25"/>
  <c r="I113" i="25"/>
  <c r="E113" i="25"/>
  <c r="G113" i="25" s="1"/>
  <c r="J112" i="25"/>
  <c r="I112" i="25"/>
  <c r="E112" i="25"/>
  <c r="G112" i="25" s="1"/>
  <c r="J111" i="25"/>
  <c r="I111" i="25"/>
  <c r="E111" i="25"/>
  <c r="G111" i="25" s="1"/>
  <c r="J110" i="25"/>
  <c r="I110" i="25"/>
  <c r="E110" i="25"/>
  <c r="G110" i="25" s="1"/>
  <c r="J109" i="25"/>
  <c r="I109" i="25"/>
  <c r="E109" i="25"/>
  <c r="G109" i="25" s="1"/>
  <c r="J108" i="25"/>
  <c r="I108" i="25"/>
  <c r="E108" i="25"/>
  <c r="G108" i="25" s="1"/>
  <c r="J107" i="25"/>
  <c r="I107" i="25"/>
  <c r="E107" i="25"/>
  <c r="G107" i="25" s="1"/>
  <c r="J106" i="25"/>
  <c r="I106" i="25"/>
  <c r="E106" i="25"/>
  <c r="G106" i="25" s="1"/>
  <c r="J105" i="25"/>
  <c r="I105" i="25"/>
  <c r="E105" i="25"/>
  <c r="G105" i="25" s="1"/>
  <c r="J104" i="25"/>
  <c r="I104" i="25"/>
  <c r="E104" i="25"/>
  <c r="G104" i="25" s="1"/>
  <c r="J103" i="25"/>
  <c r="I103" i="25"/>
  <c r="E103" i="25"/>
  <c r="G103" i="25" s="1"/>
  <c r="J102" i="25"/>
  <c r="I102" i="25"/>
  <c r="E102" i="25"/>
  <c r="G102" i="25" s="1"/>
  <c r="J101" i="25"/>
  <c r="I101" i="25"/>
  <c r="E101" i="25"/>
  <c r="G101" i="25" s="1"/>
  <c r="J100" i="25"/>
  <c r="I100" i="25"/>
  <c r="E100" i="25"/>
  <c r="G100" i="25" s="1"/>
  <c r="J99" i="25"/>
  <c r="I99" i="25"/>
  <c r="E99" i="25"/>
  <c r="G99" i="25" s="1"/>
  <c r="J98" i="25"/>
  <c r="I98" i="25"/>
  <c r="E98" i="25"/>
  <c r="G98" i="25" s="1"/>
  <c r="J97" i="25"/>
  <c r="I97" i="25"/>
  <c r="E97" i="25"/>
  <c r="G97" i="25" s="1"/>
  <c r="J96" i="25"/>
  <c r="I96" i="25"/>
  <c r="E96" i="25"/>
  <c r="G96" i="25" s="1"/>
  <c r="J95" i="25"/>
  <c r="I95" i="25"/>
  <c r="E95" i="25"/>
  <c r="G95" i="25" s="1"/>
  <c r="J94" i="25"/>
  <c r="I94" i="25"/>
  <c r="E94" i="25"/>
  <c r="G94" i="25" s="1"/>
  <c r="J93" i="25"/>
  <c r="I93" i="25"/>
  <c r="E93" i="25"/>
  <c r="G93" i="25" s="1"/>
  <c r="J92" i="25"/>
  <c r="I92" i="25"/>
  <c r="E92" i="25"/>
  <c r="G92" i="25" s="1"/>
  <c r="J91" i="25"/>
  <c r="I91" i="25"/>
  <c r="E91" i="25"/>
  <c r="G91" i="25" s="1"/>
  <c r="J90" i="25"/>
  <c r="I90" i="25"/>
  <c r="E90" i="25"/>
  <c r="G90" i="25" s="1"/>
  <c r="J89" i="25"/>
  <c r="I89" i="25"/>
  <c r="E89" i="25"/>
  <c r="G89" i="25" s="1"/>
  <c r="G121" i="25" s="1"/>
  <c r="I83" i="25"/>
  <c r="J83" i="25" s="1"/>
  <c r="E83" i="25"/>
  <c r="G83" i="25" s="1"/>
  <c r="I82" i="25"/>
  <c r="J82" i="25" s="1"/>
  <c r="E82" i="25"/>
  <c r="G82" i="25" s="1"/>
  <c r="I81" i="25"/>
  <c r="J81" i="25" s="1"/>
  <c r="E81" i="25"/>
  <c r="G81" i="25" s="1"/>
  <c r="I80" i="25"/>
  <c r="J80" i="25" s="1"/>
  <c r="E80" i="25"/>
  <c r="G80" i="25" s="1"/>
  <c r="I79" i="25"/>
  <c r="J79" i="25" s="1"/>
  <c r="E79" i="25"/>
  <c r="G79" i="25" s="1"/>
  <c r="I78" i="25"/>
  <c r="J78" i="25" s="1"/>
  <c r="E78" i="25"/>
  <c r="G78" i="25" s="1"/>
  <c r="I77" i="25"/>
  <c r="J77" i="25" s="1"/>
  <c r="E77" i="25"/>
  <c r="G77" i="25" s="1"/>
  <c r="I76" i="25"/>
  <c r="J76" i="25" s="1"/>
  <c r="E76" i="25"/>
  <c r="G76" i="25" s="1"/>
  <c r="I75" i="25"/>
  <c r="J75" i="25" s="1"/>
  <c r="E75" i="25"/>
  <c r="G75" i="25" s="1"/>
  <c r="I74" i="25"/>
  <c r="J74" i="25" s="1"/>
  <c r="E74" i="25"/>
  <c r="G74" i="25" s="1"/>
  <c r="I73" i="25"/>
  <c r="J73" i="25" s="1"/>
  <c r="G73" i="25"/>
  <c r="E73" i="25"/>
  <c r="I72" i="25"/>
  <c r="J72" i="25" s="1"/>
  <c r="E72" i="25"/>
  <c r="G72" i="25" s="1"/>
  <c r="I71" i="25"/>
  <c r="J71" i="25" s="1"/>
  <c r="E71" i="25"/>
  <c r="G71" i="25" s="1"/>
  <c r="I70" i="25"/>
  <c r="J70" i="25" s="1"/>
  <c r="E70" i="25"/>
  <c r="G70" i="25" s="1"/>
  <c r="I69" i="25"/>
  <c r="J69" i="25" s="1"/>
  <c r="E69" i="25"/>
  <c r="G69" i="25" s="1"/>
  <c r="I68" i="25"/>
  <c r="J68" i="25" s="1"/>
  <c r="E68" i="25"/>
  <c r="G68" i="25" s="1"/>
  <c r="I67" i="25"/>
  <c r="J67" i="25" s="1"/>
  <c r="E67" i="25"/>
  <c r="G67" i="25" s="1"/>
  <c r="I66" i="25"/>
  <c r="J66" i="25" s="1"/>
  <c r="E66" i="25"/>
  <c r="G66" i="25" s="1"/>
  <c r="I65" i="25"/>
  <c r="J65" i="25" s="1"/>
  <c r="E65" i="25"/>
  <c r="G65" i="25" s="1"/>
  <c r="I64" i="25"/>
  <c r="J64" i="25" s="1"/>
  <c r="E64" i="25"/>
  <c r="G64" i="25" s="1"/>
  <c r="I63" i="25"/>
  <c r="J63" i="25" s="1"/>
  <c r="E63" i="25"/>
  <c r="G63" i="25" s="1"/>
  <c r="I62" i="25"/>
  <c r="J62" i="25" s="1"/>
  <c r="E62" i="25"/>
  <c r="G62" i="25" s="1"/>
  <c r="I61" i="25"/>
  <c r="J61" i="25" s="1"/>
  <c r="E61" i="25"/>
  <c r="G61" i="25" s="1"/>
  <c r="I60" i="25"/>
  <c r="J60" i="25" s="1"/>
  <c r="E60" i="25"/>
  <c r="G60" i="25" s="1"/>
  <c r="I59" i="25"/>
  <c r="J59" i="25" s="1"/>
  <c r="E59" i="25"/>
  <c r="G59" i="25" s="1"/>
  <c r="I58" i="25"/>
  <c r="J58" i="25" s="1"/>
  <c r="E58" i="25"/>
  <c r="G58" i="25" s="1"/>
  <c r="I57" i="25"/>
  <c r="J57" i="25" s="1"/>
  <c r="G57" i="25"/>
  <c r="E57" i="25"/>
  <c r="I56" i="25"/>
  <c r="J56" i="25" s="1"/>
  <c r="E56" i="25"/>
  <c r="G56" i="25" s="1"/>
  <c r="I55" i="25"/>
  <c r="J55" i="25" s="1"/>
  <c r="E55" i="25"/>
  <c r="G55" i="25" s="1"/>
  <c r="I54" i="25"/>
  <c r="J54" i="25" s="1"/>
  <c r="E54" i="25"/>
  <c r="G54" i="25" s="1"/>
  <c r="I53" i="25"/>
  <c r="J53" i="25" s="1"/>
  <c r="E53" i="25"/>
  <c r="G53" i="25" s="1"/>
  <c r="I52" i="25"/>
  <c r="J52" i="25" s="1"/>
  <c r="E52" i="25"/>
  <c r="G52" i="25" s="1"/>
  <c r="I51" i="25"/>
  <c r="J51" i="25" s="1"/>
  <c r="E51" i="25"/>
  <c r="G51" i="25" s="1"/>
  <c r="I50" i="25"/>
  <c r="J50" i="25" s="1"/>
  <c r="E50" i="25"/>
  <c r="G50" i="25" s="1"/>
  <c r="I49" i="25"/>
  <c r="J49" i="25" s="1"/>
  <c r="E49" i="25"/>
  <c r="G49" i="25" s="1"/>
  <c r="I48" i="25"/>
  <c r="J48" i="25" s="1"/>
  <c r="E48" i="25"/>
  <c r="G48" i="25" s="1"/>
  <c r="I47" i="25"/>
  <c r="J47" i="25" s="1"/>
  <c r="E47" i="25"/>
  <c r="G47" i="25" s="1"/>
  <c r="I46" i="25"/>
  <c r="J46" i="25" s="1"/>
  <c r="E46" i="25"/>
  <c r="G46" i="25" s="1"/>
  <c r="I45" i="25"/>
  <c r="J45" i="25" s="1"/>
  <c r="E45" i="25"/>
  <c r="G45" i="25" s="1"/>
  <c r="I44" i="25"/>
  <c r="J44" i="25" s="1"/>
  <c r="E44" i="25"/>
  <c r="G44" i="25" s="1"/>
  <c r="I43" i="25"/>
  <c r="J43" i="25" s="1"/>
  <c r="E43" i="25"/>
  <c r="G43" i="25" s="1"/>
  <c r="I42" i="25"/>
  <c r="J42" i="25" s="1"/>
  <c r="E42" i="25"/>
  <c r="G42" i="25" s="1"/>
  <c r="I41" i="25"/>
  <c r="J41" i="25" s="1"/>
  <c r="G41" i="25"/>
  <c r="E41" i="25"/>
  <c r="I40" i="25"/>
  <c r="J40" i="25" s="1"/>
  <c r="E40" i="25"/>
  <c r="G40" i="25" s="1"/>
  <c r="I39" i="25"/>
  <c r="J39" i="25" s="1"/>
  <c r="E39" i="25"/>
  <c r="G39" i="25" s="1"/>
  <c r="I38" i="25"/>
  <c r="J38" i="25" s="1"/>
  <c r="E38" i="25"/>
  <c r="G38" i="25" s="1"/>
  <c r="I37" i="25"/>
  <c r="J37" i="25" s="1"/>
  <c r="E37" i="25"/>
  <c r="G37" i="25" s="1"/>
  <c r="I36" i="25"/>
  <c r="J36" i="25" s="1"/>
  <c r="E36" i="25"/>
  <c r="G36" i="25" s="1"/>
  <c r="I35" i="25"/>
  <c r="J35" i="25" s="1"/>
  <c r="E35" i="25"/>
  <c r="G35" i="25" s="1"/>
  <c r="I34" i="25"/>
  <c r="J34" i="25" s="1"/>
  <c r="E34" i="25"/>
  <c r="G34" i="25" s="1"/>
  <c r="I33" i="25"/>
  <c r="J33" i="25" s="1"/>
  <c r="E33" i="25"/>
  <c r="G33" i="25" s="1"/>
  <c r="I32" i="25"/>
  <c r="J32" i="25" s="1"/>
  <c r="E32" i="25"/>
  <c r="G32" i="25" s="1"/>
  <c r="I31" i="25"/>
  <c r="J31" i="25" s="1"/>
  <c r="E31" i="25"/>
  <c r="G31" i="25" s="1"/>
  <c r="I30" i="25"/>
  <c r="J30" i="25" s="1"/>
  <c r="E30" i="25"/>
  <c r="G30" i="25" s="1"/>
  <c r="I29" i="25"/>
  <c r="J29" i="25" s="1"/>
  <c r="E29" i="25"/>
  <c r="G29" i="25" s="1"/>
  <c r="I28" i="25"/>
  <c r="J28" i="25" s="1"/>
  <c r="E28" i="25"/>
  <c r="G28" i="25" s="1"/>
  <c r="I27" i="25"/>
  <c r="J27" i="25" s="1"/>
  <c r="E27" i="25"/>
  <c r="G27" i="25" s="1"/>
  <c r="I26" i="25"/>
  <c r="J26" i="25" s="1"/>
  <c r="E26" i="25"/>
  <c r="G26" i="25" s="1"/>
  <c r="I25" i="25"/>
  <c r="J25" i="25" s="1"/>
  <c r="E25" i="25"/>
  <c r="G25" i="25" s="1"/>
  <c r="I24" i="25"/>
  <c r="J24" i="25" s="1"/>
  <c r="E24" i="25"/>
  <c r="G24" i="25" s="1"/>
  <c r="I23" i="25"/>
  <c r="J23" i="25" s="1"/>
  <c r="E23" i="25"/>
  <c r="G23" i="25" s="1"/>
  <c r="I22" i="25"/>
  <c r="J22" i="25" s="1"/>
  <c r="E22" i="25"/>
  <c r="G22" i="25" s="1"/>
  <c r="I21" i="25"/>
  <c r="J21" i="25" s="1"/>
  <c r="E21" i="25"/>
  <c r="G21" i="25" s="1"/>
  <c r="I20" i="25"/>
  <c r="J20" i="25" s="1"/>
  <c r="E20" i="25"/>
  <c r="G20" i="25" s="1"/>
  <c r="I19" i="25"/>
  <c r="J19" i="25" s="1"/>
  <c r="E19" i="25"/>
  <c r="G19" i="25" s="1"/>
  <c r="I18" i="25"/>
  <c r="J18" i="25" s="1"/>
  <c r="E18" i="25"/>
  <c r="G18" i="25" s="1"/>
  <c r="I17" i="25"/>
  <c r="J17" i="25" s="1"/>
  <c r="E17" i="25"/>
  <c r="G17" i="25" s="1"/>
  <c r="I16" i="25"/>
  <c r="J16" i="25" s="1"/>
  <c r="E16" i="25"/>
  <c r="G16" i="25" s="1"/>
  <c r="I15" i="25"/>
  <c r="J15" i="25" s="1"/>
  <c r="E15" i="25"/>
  <c r="G15" i="25" s="1"/>
  <c r="I14" i="25"/>
  <c r="J14" i="25" s="1"/>
  <c r="E14" i="25"/>
  <c r="G14" i="25" s="1"/>
  <c r="I13" i="25"/>
  <c r="J13" i="25" s="1"/>
  <c r="E13" i="25"/>
  <c r="G13" i="25" s="1"/>
  <c r="I12" i="25"/>
  <c r="J12" i="25" s="1"/>
  <c r="E12" i="25"/>
  <c r="G12" i="25" s="1"/>
  <c r="I11" i="25"/>
  <c r="J11" i="25" s="1"/>
  <c r="E11" i="25"/>
  <c r="G11" i="25" s="1"/>
  <c r="I10" i="25"/>
  <c r="J10" i="25" s="1"/>
  <c r="E10" i="25"/>
  <c r="G10" i="25" s="1"/>
  <c r="I9" i="25"/>
  <c r="J9" i="25" s="1"/>
  <c r="E9" i="25"/>
  <c r="G9" i="25" s="1"/>
  <c r="I8" i="25"/>
  <c r="J8" i="25" s="1"/>
  <c r="E8" i="25"/>
  <c r="G8" i="25" s="1"/>
  <c r="I7" i="25"/>
  <c r="J7" i="25" s="1"/>
  <c r="E7" i="25"/>
  <c r="G7" i="25" s="1"/>
  <c r="I6" i="25"/>
  <c r="J6" i="25" s="1"/>
  <c r="E6" i="25"/>
  <c r="G6" i="25" s="1"/>
  <c r="I5" i="25"/>
  <c r="J5" i="25" s="1"/>
  <c r="E5" i="25"/>
  <c r="G5" i="25" s="1"/>
  <c r="I4" i="25"/>
  <c r="J4" i="25" s="1"/>
  <c r="E4" i="25"/>
  <c r="G4" i="25" s="1"/>
  <c r="I3" i="25"/>
  <c r="J3" i="25" s="1"/>
  <c r="E3" i="25"/>
  <c r="G3" i="25" s="1"/>
  <c r="J120" i="24"/>
  <c r="I120" i="24"/>
  <c r="E120" i="24"/>
  <c r="G120" i="24" s="1"/>
  <c r="J119" i="24"/>
  <c r="I119" i="24"/>
  <c r="E119" i="24"/>
  <c r="G119" i="24" s="1"/>
  <c r="J118" i="24"/>
  <c r="I118" i="24"/>
  <c r="E118" i="24"/>
  <c r="G118" i="24" s="1"/>
  <c r="J117" i="24"/>
  <c r="I117" i="24"/>
  <c r="E117" i="24"/>
  <c r="G117" i="24" s="1"/>
  <c r="J116" i="24"/>
  <c r="I116" i="24"/>
  <c r="E116" i="24"/>
  <c r="G116" i="24" s="1"/>
  <c r="J115" i="24"/>
  <c r="I115" i="24"/>
  <c r="E115" i="24"/>
  <c r="G115" i="24" s="1"/>
  <c r="J114" i="24"/>
  <c r="I114" i="24"/>
  <c r="E114" i="24"/>
  <c r="G114" i="24" s="1"/>
  <c r="J113" i="24"/>
  <c r="I113" i="24"/>
  <c r="E113" i="24"/>
  <c r="G113" i="24" s="1"/>
  <c r="J112" i="24"/>
  <c r="I112" i="24"/>
  <c r="E112" i="24"/>
  <c r="G112" i="24" s="1"/>
  <c r="J111" i="24"/>
  <c r="I111" i="24"/>
  <c r="E111" i="24"/>
  <c r="G111" i="24" s="1"/>
  <c r="J110" i="24"/>
  <c r="I110" i="24"/>
  <c r="E110" i="24"/>
  <c r="G110" i="24" s="1"/>
  <c r="J109" i="24"/>
  <c r="I109" i="24"/>
  <c r="E109" i="24"/>
  <c r="G109" i="24" s="1"/>
  <c r="J108" i="24"/>
  <c r="I108" i="24"/>
  <c r="E108" i="24"/>
  <c r="G108" i="24" s="1"/>
  <c r="J107" i="24"/>
  <c r="I107" i="24"/>
  <c r="E107" i="24"/>
  <c r="G107" i="24" s="1"/>
  <c r="J106" i="24"/>
  <c r="I106" i="24"/>
  <c r="E106" i="24"/>
  <c r="G106" i="24" s="1"/>
  <c r="J105" i="24"/>
  <c r="I105" i="24"/>
  <c r="E105" i="24"/>
  <c r="G105" i="24" s="1"/>
  <c r="J104" i="24"/>
  <c r="I104" i="24"/>
  <c r="E104" i="24"/>
  <c r="G104" i="24" s="1"/>
  <c r="J103" i="24"/>
  <c r="I103" i="24"/>
  <c r="E103" i="24"/>
  <c r="G103" i="24" s="1"/>
  <c r="J102" i="24"/>
  <c r="I102" i="24"/>
  <c r="E102" i="24"/>
  <c r="G102" i="24" s="1"/>
  <c r="J101" i="24"/>
  <c r="I101" i="24"/>
  <c r="E101" i="24"/>
  <c r="G101" i="24" s="1"/>
  <c r="J100" i="24"/>
  <c r="I100" i="24"/>
  <c r="E100" i="24"/>
  <c r="G100" i="24" s="1"/>
  <c r="J99" i="24"/>
  <c r="I99" i="24"/>
  <c r="E99" i="24"/>
  <c r="G99" i="24" s="1"/>
  <c r="J98" i="24"/>
  <c r="I98" i="24"/>
  <c r="E98" i="24"/>
  <c r="G98" i="24" s="1"/>
  <c r="J97" i="24"/>
  <c r="I97" i="24"/>
  <c r="E97" i="24"/>
  <c r="G97" i="24" s="1"/>
  <c r="J96" i="24"/>
  <c r="I96" i="24"/>
  <c r="E96" i="24"/>
  <c r="G96" i="24" s="1"/>
  <c r="J95" i="24"/>
  <c r="I95" i="24"/>
  <c r="E95" i="24"/>
  <c r="G95" i="24" s="1"/>
  <c r="J94" i="24"/>
  <c r="I94" i="24"/>
  <c r="E94" i="24"/>
  <c r="G94" i="24" s="1"/>
  <c r="J93" i="24"/>
  <c r="I93" i="24"/>
  <c r="E93" i="24"/>
  <c r="G93" i="24" s="1"/>
  <c r="J92" i="24"/>
  <c r="I92" i="24"/>
  <c r="E92" i="24"/>
  <c r="G92" i="24" s="1"/>
  <c r="J91" i="24"/>
  <c r="I91" i="24"/>
  <c r="E91" i="24"/>
  <c r="G91" i="24" s="1"/>
  <c r="J90" i="24"/>
  <c r="I90" i="24"/>
  <c r="E90" i="24"/>
  <c r="G90" i="24" s="1"/>
  <c r="J89" i="24"/>
  <c r="I89" i="24"/>
  <c r="E89" i="24"/>
  <c r="G89" i="24" s="1"/>
  <c r="G121" i="24" s="1"/>
  <c r="I83" i="24"/>
  <c r="J83" i="24" s="1"/>
  <c r="E83" i="24"/>
  <c r="G83" i="24" s="1"/>
  <c r="I82" i="24"/>
  <c r="J82" i="24" s="1"/>
  <c r="E82" i="24"/>
  <c r="G82" i="24" s="1"/>
  <c r="I81" i="24"/>
  <c r="J81" i="24" s="1"/>
  <c r="E81" i="24"/>
  <c r="G81" i="24" s="1"/>
  <c r="I80" i="24"/>
  <c r="J80" i="24" s="1"/>
  <c r="E80" i="24"/>
  <c r="G80" i="24" s="1"/>
  <c r="I79" i="24"/>
  <c r="J79" i="24" s="1"/>
  <c r="E79" i="24"/>
  <c r="G79" i="24" s="1"/>
  <c r="I78" i="24"/>
  <c r="J78" i="24" s="1"/>
  <c r="E78" i="24"/>
  <c r="G78" i="24" s="1"/>
  <c r="I77" i="24"/>
  <c r="J77" i="24" s="1"/>
  <c r="E77" i="24"/>
  <c r="G77" i="24" s="1"/>
  <c r="I76" i="24"/>
  <c r="J76" i="24" s="1"/>
  <c r="E76" i="24"/>
  <c r="G76" i="24" s="1"/>
  <c r="I75" i="24"/>
  <c r="J75" i="24" s="1"/>
  <c r="E75" i="24"/>
  <c r="G75" i="24" s="1"/>
  <c r="I74" i="24"/>
  <c r="J74" i="24" s="1"/>
  <c r="E74" i="24"/>
  <c r="G74" i="24" s="1"/>
  <c r="I73" i="24"/>
  <c r="J73" i="24" s="1"/>
  <c r="E73" i="24"/>
  <c r="G73" i="24" s="1"/>
  <c r="I72" i="24"/>
  <c r="J72" i="24" s="1"/>
  <c r="E72" i="24"/>
  <c r="G72" i="24" s="1"/>
  <c r="I71" i="24"/>
  <c r="J71" i="24" s="1"/>
  <c r="E71" i="24"/>
  <c r="G71" i="24" s="1"/>
  <c r="I70" i="24"/>
  <c r="J70" i="24" s="1"/>
  <c r="E70" i="24"/>
  <c r="G70" i="24" s="1"/>
  <c r="I69" i="24"/>
  <c r="J69" i="24" s="1"/>
  <c r="E69" i="24"/>
  <c r="G69" i="24" s="1"/>
  <c r="I68" i="24"/>
  <c r="J68" i="24" s="1"/>
  <c r="E68" i="24"/>
  <c r="G68" i="24" s="1"/>
  <c r="I67" i="24"/>
  <c r="J67" i="24" s="1"/>
  <c r="E67" i="24"/>
  <c r="G67" i="24" s="1"/>
  <c r="I66" i="24"/>
  <c r="J66" i="24" s="1"/>
  <c r="E66" i="24"/>
  <c r="G66" i="24" s="1"/>
  <c r="I65" i="24"/>
  <c r="J65" i="24" s="1"/>
  <c r="E65" i="24"/>
  <c r="G65" i="24" s="1"/>
  <c r="I64" i="24"/>
  <c r="J64" i="24" s="1"/>
  <c r="E64" i="24"/>
  <c r="G64" i="24" s="1"/>
  <c r="I63" i="24"/>
  <c r="J63" i="24" s="1"/>
  <c r="E63" i="24"/>
  <c r="G63" i="24" s="1"/>
  <c r="I62" i="24"/>
  <c r="J62" i="24" s="1"/>
  <c r="E62" i="24"/>
  <c r="G62" i="24" s="1"/>
  <c r="I61" i="24"/>
  <c r="J61" i="24" s="1"/>
  <c r="E61" i="24"/>
  <c r="G61" i="24" s="1"/>
  <c r="I60" i="24"/>
  <c r="J60" i="24" s="1"/>
  <c r="E60" i="24"/>
  <c r="G60" i="24" s="1"/>
  <c r="I59" i="24"/>
  <c r="J59" i="24" s="1"/>
  <c r="E59" i="24"/>
  <c r="G59" i="24" s="1"/>
  <c r="I58" i="24"/>
  <c r="J58" i="24" s="1"/>
  <c r="E58" i="24"/>
  <c r="G58" i="24" s="1"/>
  <c r="I57" i="24"/>
  <c r="J57" i="24" s="1"/>
  <c r="E57" i="24"/>
  <c r="G57" i="24" s="1"/>
  <c r="I56" i="24"/>
  <c r="J56" i="24" s="1"/>
  <c r="E56" i="24"/>
  <c r="G56" i="24" s="1"/>
  <c r="I55" i="24"/>
  <c r="J55" i="24" s="1"/>
  <c r="E55" i="24"/>
  <c r="G55" i="24" s="1"/>
  <c r="I54" i="24"/>
  <c r="J54" i="24" s="1"/>
  <c r="E54" i="24"/>
  <c r="G54" i="24" s="1"/>
  <c r="I53" i="24"/>
  <c r="J53" i="24" s="1"/>
  <c r="E53" i="24"/>
  <c r="G53" i="24" s="1"/>
  <c r="I52" i="24"/>
  <c r="J52" i="24" s="1"/>
  <c r="E52" i="24"/>
  <c r="G52" i="24" s="1"/>
  <c r="I51" i="24"/>
  <c r="J51" i="24" s="1"/>
  <c r="E51" i="24"/>
  <c r="G51" i="24" s="1"/>
  <c r="I50" i="24"/>
  <c r="J50" i="24" s="1"/>
  <c r="E50" i="24"/>
  <c r="G50" i="24" s="1"/>
  <c r="I49" i="24"/>
  <c r="J49" i="24" s="1"/>
  <c r="E49" i="24"/>
  <c r="G49" i="24" s="1"/>
  <c r="I48" i="24"/>
  <c r="J48" i="24" s="1"/>
  <c r="E48" i="24"/>
  <c r="G48" i="24" s="1"/>
  <c r="I47" i="24"/>
  <c r="J47" i="24" s="1"/>
  <c r="E47" i="24"/>
  <c r="G47" i="24" s="1"/>
  <c r="I46" i="24"/>
  <c r="J46" i="24" s="1"/>
  <c r="E46" i="24"/>
  <c r="G46" i="24" s="1"/>
  <c r="I45" i="24"/>
  <c r="J45" i="24" s="1"/>
  <c r="E45" i="24"/>
  <c r="G45" i="24" s="1"/>
  <c r="I44" i="24"/>
  <c r="J44" i="24" s="1"/>
  <c r="E44" i="24"/>
  <c r="G44" i="24" s="1"/>
  <c r="I43" i="24"/>
  <c r="J43" i="24" s="1"/>
  <c r="E43" i="24"/>
  <c r="G43" i="24" s="1"/>
  <c r="I42" i="24"/>
  <c r="J42" i="24" s="1"/>
  <c r="E42" i="24"/>
  <c r="G42" i="24" s="1"/>
  <c r="I41" i="24"/>
  <c r="J41" i="24" s="1"/>
  <c r="E41" i="24"/>
  <c r="G41" i="24" s="1"/>
  <c r="I40" i="24"/>
  <c r="J40" i="24" s="1"/>
  <c r="E40" i="24"/>
  <c r="G40" i="24" s="1"/>
  <c r="I39" i="24"/>
  <c r="J39" i="24" s="1"/>
  <c r="E39" i="24"/>
  <c r="G39" i="24" s="1"/>
  <c r="I38" i="24"/>
  <c r="J38" i="24" s="1"/>
  <c r="E38" i="24"/>
  <c r="G38" i="24" s="1"/>
  <c r="I37" i="24"/>
  <c r="J37" i="24" s="1"/>
  <c r="E37" i="24"/>
  <c r="G37" i="24" s="1"/>
  <c r="I36" i="24"/>
  <c r="J36" i="24" s="1"/>
  <c r="E36" i="24"/>
  <c r="G36" i="24" s="1"/>
  <c r="I35" i="24"/>
  <c r="J35" i="24" s="1"/>
  <c r="E35" i="24"/>
  <c r="G35" i="24" s="1"/>
  <c r="I34" i="24"/>
  <c r="J34" i="24" s="1"/>
  <c r="E34" i="24"/>
  <c r="G34" i="24" s="1"/>
  <c r="I33" i="24"/>
  <c r="J33" i="24" s="1"/>
  <c r="E33" i="24"/>
  <c r="G33" i="24" s="1"/>
  <c r="I32" i="24"/>
  <c r="J32" i="24" s="1"/>
  <c r="E32" i="24"/>
  <c r="G32" i="24" s="1"/>
  <c r="I31" i="24"/>
  <c r="J31" i="24" s="1"/>
  <c r="E31" i="24"/>
  <c r="G31" i="24" s="1"/>
  <c r="I30" i="24"/>
  <c r="J30" i="24" s="1"/>
  <c r="E30" i="24"/>
  <c r="G30" i="24" s="1"/>
  <c r="I29" i="24"/>
  <c r="J29" i="24" s="1"/>
  <c r="E29" i="24"/>
  <c r="G29" i="24" s="1"/>
  <c r="I28" i="24"/>
  <c r="J28" i="24" s="1"/>
  <c r="E28" i="24"/>
  <c r="G28" i="24" s="1"/>
  <c r="I27" i="24"/>
  <c r="J27" i="24" s="1"/>
  <c r="E27" i="24"/>
  <c r="G27" i="24" s="1"/>
  <c r="I26" i="24"/>
  <c r="J26" i="24" s="1"/>
  <c r="E26" i="24"/>
  <c r="G26" i="24" s="1"/>
  <c r="I25" i="24"/>
  <c r="J25" i="24" s="1"/>
  <c r="E25" i="24"/>
  <c r="G25" i="24" s="1"/>
  <c r="I24" i="24"/>
  <c r="J24" i="24" s="1"/>
  <c r="E24" i="24"/>
  <c r="G24" i="24" s="1"/>
  <c r="I23" i="24"/>
  <c r="J23" i="24" s="1"/>
  <c r="E23" i="24"/>
  <c r="G23" i="24" s="1"/>
  <c r="I22" i="24"/>
  <c r="J22" i="24" s="1"/>
  <c r="E22" i="24"/>
  <c r="G22" i="24" s="1"/>
  <c r="I21" i="24"/>
  <c r="J21" i="24" s="1"/>
  <c r="E21" i="24"/>
  <c r="G21" i="24" s="1"/>
  <c r="I20" i="24"/>
  <c r="J20" i="24" s="1"/>
  <c r="E20" i="24"/>
  <c r="G20" i="24" s="1"/>
  <c r="I19" i="24"/>
  <c r="J19" i="24" s="1"/>
  <c r="E19" i="24"/>
  <c r="G19" i="24" s="1"/>
  <c r="I18" i="24"/>
  <c r="J18" i="24" s="1"/>
  <c r="E18" i="24"/>
  <c r="G18" i="24" s="1"/>
  <c r="I17" i="24"/>
  <c r="J17" i="24" s="1"/>
  <c r="E17" i="24"/>
  <c r="G17" i="24" s="1"/>
  <c r="I16" i="24"/>
  <c r="J16" i="24" s="1"/>
  <c r="E16" i="24"/>
  <c r="G16" i="24" s="1"/>
  <c r="I15" i="24"/>
  <c r="J15" i="24" s="1"/>
  <c r="E15" i="24"/>
  <c r="G15" i="24" s="1"/>
  <c r="I14" i="24"/>
  <c r="J14" i="24" s="1"/>
  <c r="E14" i="24"/>
  <c r="G14" i="24" s="1"/>
  <c r="I13" i="24"/>
  <c r="J13" i="24" s="1"/>
  <c r="E13" i="24"/>
  <c r="G13" i="24" s="1"/>
  <c r="I12" i="24"/>
  <c r="J12" i="24" s="1"/>
  <c r="E12" i="24"/>
  <c r="G12" i="24" s="1"/>
  <c r="I11" i="24"/>
  <c r="J11" i="24" s="1"/>
  <c r="E11" i="24"/>
  <c r="G11" i="24" s="1"/>
  <c r="I10" i="24"/>
  <c r="J10" i="24" s="1"/>
  <c r="E10" i="24"/>
  <c r="G10" i="24" s="1"/>
  <c r="I9" i="24"/>
  <c r="J9" i="24" s="1"/>
  <c r="E9" i="24"/>
  <c r="G9" i="24" s="1"/>
  <c r="I8" i="24"/>
  <c r="J8" i="24" s="1"/>
  <c r="E8" i="24"/>
  <c r="G8" i="24" s="1"/>
  <c r="I7" i="24"/>
  <c r="J7" i="24" s="1"/>
  <c r="E7" i="24"/>
  <c r="G7" i="24" s="1"/>
  <c r="I6" i="24"/>
  <c r="J6" i="24" s="1"/>
  <c r="E6" i="24"/>
  <c r="G6" i="24" s="1"/>
  <c r="I5" i="24"/>
  <c r="J5" i="24" s="1"/>
  <c r="E5" i="24"/>
  <c r="G5" i="24" s="1"/>
  <c r="I4" i="24"/>
  <c r="J4" i="24" s="1"/>
  <c r="E4" i="24"/>
  <c r="G4" i="24" s="1"/>
  <c r="I3" i="24"/>
  <c r="J3" i="24" s="1"/>
  <c r="E3" i="24"/>
  <c r="G3" i="24" s="1"/>
  <c r="I120" i="19"/>
  <c r="J120" i="19" s="1"/>
  <c r="E120" i="19"/>
  <c r="G120" i="19" s="1"/>
  <c r="J119" i="19"/>
  <c r="I119" i="19"/>
  <c r="E119" i="19"/>
  <c r="G119" i="19" s="1"/>
  <c r="I118" i="19"/>
  <c r="J118" i="19" s="1"/>
  <c r="E118" i="19"/>
  <c r="G118" i="19" s="1"/>
  <c r="I117" i="19"/>
  <c r="J117" i="19" s="1"/>
  <c r="E117" i="19"/>
  <c r="G117" i="19" s="1"/>
  <c r="I116" i="19"/>
  <c r="J116" i="19" s="1"/>
  <c r="E116" i="19"/>
  <c r="G116" i="19" s="1"/>
  <c r="J115" i="19"/>
  <c r="I115" i="19"/>
  <c r="E115" i="19"/>
  <c r="G115" i="19" s="1"/>
  <c r="I114" i="19"/>
  <c r="J114" i="19" s="1"/>
  <c r="E114" i="19"/>
  <c r="G114" i="19" s="1"/>
  <c r="I113" i="19"/>
  <c r="J113" i="19" s="1"/>
  <c r="E113" i="19"/>
  <c r="G113" i="19" s="1"/>
  <c r="I112" i="19"/>
  <c r="J112" i="19" s="1"/>
  <c r="E112" i="19"/>
  <c r="G112" i="19" s="1"/>
  <c r="J111" i="19"/>
  <c r="I111" i="19"/>
  <c r="E111" i="19"/>
  <c r="G111" i="19" s="1"/>
  <c r="I110" i="19"/>
  <c r="J110" i="19" s="1"/>
  <c r="E110" i="19"/>
  <c r="G110" i="19" s="1"/>
  <c r="I109" i="19"/>
  <c r="J109" i="19" s="1"/>
  <c r="E109" i="19"/>
  <c r="G109" i="19" s="1"/>
  <c r="I108" i="19"/>
  <c r="J108" i="19" s="1"/>
  <c r="E108" i="19"/>
  <c r="G108" i="19" s="1"/>
  <c r="J107" i="19"/>
  <c r="I107" i="19"/>
  <c r="E107" i="19"/>
  <c r="G107" i="19" s="1"/>
  <c r="I106" i="19"/>
  <c r="J106" i="19" s="1"/>
  <c r="E106" i="19"/>
  <c r="G106" i="19" s="1"/>
  <c r="I105" i="19"/>
  <c r="J105" i="19" s="1"/>
  <c r="E105" i="19"/>
  <c r="G105" i="19" s="1"/>
  <c r="I104" i="19"/>
  <c r="J104" i="19" s="1"/>
  <c r="E104" i="19"/>
  <c r="G104" i="19" s="1"/>
  <c r="J103" i="19"/>
  <c r="I103" i="19"/>
  <c r="E103" i="19"/>
  <c r="G103" i="19" s="1"/>
  <c r="I102" i="19"/>
  <c r="J102" i="19" s="1"/>
  <c r="E102" i="19"/>
  <c r="G102" i="19" s="1"/>
  <c r="I101" i="19"/>
  <c r="J101" i="19" s="1"/>
  <c r="E101" i="19"/>
  <c r="G101" i="19" s="1"/>
  <c r="I100" i="19"/>
  <c r="J100" i="19" s="1"/>
  <c r="E100" i="19"/>
  <c r="G100" i="19" s="1"/>
  <c r="J99" i="19"/>
  <c r="I99" i="19"/>
  <c r="E99" i="19"/>
  <c r="G99" i="19" s="1"/>
  <c r="I98" i="19"/>
  <c r="J98" i="19" s="1"/>
  <c r="E98" i="19"/>
  <c r="G98" i="19" s="1"/>
  <c r="I97" i="19"/>
  <c r="J97" i="19" s="1"/>
  <c r="E97" i="19"/>
  <c r="G97" i="19" s="1"/>
  <c r="I96" i="19"/>
  <c r="J96" i="19" s="1"/>
  <c r="E96" i="19"/>
  <c r="G96" i="19" s="1"/>
  <c r="J95" i="19"/>
  <c r="I95" i="19"/>
  <c r="E95" i="19"/>
  <c r="G95" i="19" s="1"/>
  <c r="I94" i="19"/>
  <c r="J94" i="19" s="1"/>
  <c r="E94" i="19"/>
  <c r="G94" i="19" s="1"/>
  <c r="I93" i="19"/>
  <c r="J93" i="19" s="1"/>
  <c r="E93" i="19"/>
  <c r="G93" i="19" s="1"/>
  <c r="I92" i="19"/>
  <c r="J92" i="19" s="1"/>
  <c r="E92" i="19"/>
  <c r="G92" i="19" s="1"/>
  <c r="J91" i="19"/>
  <c r="I91" i="19"/>
  <c r="E91" i="19"/>
  <c r="G91" i="19" s="1"/>
  <c r="I90" i="19"/>
  <c r="J90" i="19" s="1"/>
  <c r="E90" i="19"/>
  <c r="G90" i="19" s="1"/>
  <c r="J89" i="19"/>
  <c r="I89" i="19"/>
  <c r="E89" i="19"/>
  <c r="G89" i="19" s="1"/>
  <c r="I83" i="19"/>
  <c r="J83" i="19" s="1"/>
  <c r="E83" i="19"/>
  <c r="G83" i="19" s="1"/>
  <c r="I82" i="19"/>
  <c r="J82" i="19" s="1"/>
  <c r="E82" i="19"/>
  <c r="G82" i="19" s="1"/>
  <c r="I81" i="19"/>
  <c r="J81" i="19" s="1"/>
  <c r="G81" i="19"/>
  <c r="E81" i="19"/>
  <c r="I80" i="19"/>
  <c r="J80" i="19" s="1"/>
  <c r="E80" i="19"/>
  <c r="G80" i="19" s="1"/>
  <c r="I79" i="19"/>
  <c r="J79" i="19" s="1"/>
  <c r="E79" i="19"/>
  <c r="G79" i="19" s="1"/>
  <c r="I78" i="19"/>
  <c r="J78" i="19" s="1"/>
  <c r="E78" i="19"/>
  <c r="G78" i="19" s="1"/>
  <c r="I77" i="19"/>
  <c r="J77" i="19" s="1"/>
  <c r="E77" i="19"/>
  <c r="G77" i="19" s="1"/>
  <c r="I76" i="19"/>
  <c r="J76" i="19" s="1"/>
  <c r="E76" i="19"/>
  <c r="G76" i="19" s="1"/>
  <c r="I75" i="19"/>
  <c r="J75" i="19" s="1"/>
  <c r="E75" i="19"/>
  <c r="G75" i="19" s="1"/>
  <c r="I74" i="19"/>
  <c r="J74" i="19" s="1"/>
  <c r="E74" i="19"/>
  <c r="G74" i="19" s="1"/>
  <c r="I73" i="19"/>
  <c r="J73" i="19" s="1"/>
  <c r="E73" i="19"/>
  <c r="G73" i="19" s="1"/>
  <c r="I72" i="19"/>
  <c r="J72" i="19" s="1"/>
  <c r="E72" i="19"/>
  <c r="G72" i="19" s="1"/>
  <c r="I71" i="19"/>
  <c r="J71" i="19" s="1"/>
  <c r="E71" i="19"/>
  <c r="G71" i="19" s="1"/>
  <c r="I70" i="19"/>
  <c r="J70" i="19" s="1"/>
  <c r="E70" i="19"/>
  <c r="G70" i="19" s="1"/>
  <c r="I69" i="19"/>
  <c r="J69" i="19" s="1"/>
  <c r="E69" i="19"/>
  <c r="G69" i="19" s="1"/>
  <c r="I68" i="19"/>
  <c r="J68" i="19" s="1"/>
  <c r="E68" i="19"/>
  <c r="G68" i="19" s="1"/>
  <c r="I67" i="19"/>
  <c r="J67" i="19" s="1"/>
  <c r="E67" i="19"/>
  <c r="G67" i="19" s="1"/>
  <c r="I66" i="19"/>
  <c r="J66" i="19" s="1"/>
  <c r="E66" i="19"/>
  <c r="G66" i="19" s="1"/>
  <c r="I65" i="19"/>
  <c r="J65" i="19" s="1"/>
  <c r="G65" i="19"/>
  <c r="E65" i="19"/>
  <c r="I64" i="19"/>
  <c r="J64" i="19" s="1"/>
  <c r="E64" i="19"/>
  <c r="G64" i="19" s="1"/>
  <c r="I63" i="19"/>
  <c r="J63" i="19" s="1"/>
  <c r="E63" i="19"/>
  <c r="G63" i="19" s="1"/>
  <c r="I62" i="19"/>
  <c r="J62" i="19" s="1"/>
  <c r="E62" i="19"/>
  <c r="G62" i="19" s="1"/>
  <c r="I61" i="19"/>
  <c r="J61" i="19" s="1"/>
  <c r="E61" i="19"/>
  <c r="G61" i="19" s="1"/>
  <c r="I60" i="19"/>
  <c r="J60" i="19" s="1"/>
  <c r="E60" i="19"/>
  <c r="G60" i="19" s="1"/>
  <c r="I59" i="19"/>
  <c r="J59" i="19" s="1"/>
  <c r="E59" i="19"/>
  <c r="G59" i="19" s="1"/>
  <c r="I58" i="19"/>
  <c r="J58" i="19" s="1"/>
  <c r="E58" i="19"/>
  <c r="G58" i="19" s="1"/>
  <c r="I57" i="19"/>
  <c r="J57" i="19" s="1"/>
  <c r="E57" i="19"/>
  <c r="G57" i="19" s="1"/>
  <c r="I56" i="19"/>
  <c r="J56" i="19" s="1"/>
  <c r="E56" i="19"/>
  <c r="G56" i="19" s="1"/>
  <c r="I55" i="19"/>
  <c r="J55" i="19" s="1"/>
  <c r="E55" i="19"/>
  <c r="G55" i="19" s="1"/>
  <c r="I54" i="19"/>
  <c r="J54" i="19" s="1"/>
  <c r="E54" i="19"/>
  <c r="G54" i="19" s="1"/>
  <c r="I53" i="19"/>
  <c r="J53" i="19" s="1"/>
  <c r="E53" i="19"/>
  <c r="G53" i="19" s="1"/>
  <c r="I52" i="19"/>
  <c r="J52" i="19" s="1"/>
  <c r="E52" i="19"/>
  <c r="G52" i="19" s="1"/>
  <c r="I51" i="19"/>
  <c r="J51" i="19" s="1"/>
  <c r="E51" i="19"/>
  <c r="G51" i="19" s="1"/>
  <c r="I50" i="19"/>
  <c r="J50" i="19" s="1"/>
  <c r="E50" i="19"/>
  <c r="G50" i="19" s="1"/>
  <c r="I49" i="19"/>
  <c r="J49" i="19" s="1"/>
  <c r="G49" i="19"/>
  <c r="E49" i="19"/>
  <c r="I48" i="19"/>
  <c r="J48" i="19" s="1"/>
  <c r="E48" i="19"/>
  <c r="G48" i="19" s="1"/>
  <c r="I47" i="19"/>
  <c r="J47" i="19" s="1"/>
  <c r="E47" i="19"/>
  <c r="G47" i="19" s="1"/>
  <c r="I46" i="19"/>
  <c r="J46" i="19" s="1"/>
  <c r="E46" i="19"/>
  <c r="G46" i="19" s="1"/>
  <c r="I45" i="19"/>
  <c r="J45" i="19" s="1"/>
  <c r="E45" i="19"/>
  <c r="G45" i="19" s="1"/>
  <c r="I44" i="19"/>
  <c r="J44" i="19" s="1"/>
  <c r="E44" i="19"/>
  <c r="G44" i="19" s="1"/>
  <c r="I43" i="19"/>
  <c r="J43" i="19" s="1"/>
  <c r="E43" i="19"/>
  <c r="G43" i="19" s="1"/>
  <c r="I42" i="19"/>
  <c r="J42" i="19" s="1"/>
  <c r="E42" i="19"/>
  <c r="G42" i="19" s="1"/>
  <c r="I41" i="19"/>
  <c r="J41" i="19" s="1"/>
  <c r="E41" i="19"/>
  <c r="G41" i="19" s="1"/>
  <c r="I40" i="19"/>
  <c r="J40" i="19" s="1"/>
  <c r="E40" i="19"/>
  <c r="G40" i="19" s="1"/>
  <c r="I39" i="19"/>
  <c r="J39" i="19" s="1"/>
  <c r="E39" i="19"/>
  <c r="G39" i="19" s="1"/>
  <c r="I38" i="19"/>
  <c r="J38" i="19" s="1"/>
  <c r="E38" i="19"/>
  <c r="G38" i="19" s="1"/>
  <c r="I37" i="19"/>
  <c r="J37" i="19" s="1"/>
  <c r="E37" i="19"/>
  <c r="G37" i="19" s="1"/>
  <c r="I36" i="19"/>
  <c r="J36" i="19" s="1"/>
  <c r="E36" i="19"/>
  <c r="G36" i="19" s="1"/>
  <c r="I35" i="19"/>
  <c r="J35" i="19" s="1"/>
  <c r="E35" i="19"/>
  <c r="G35" i="19" s="1"/>
  <c r="I34" i="19"/>
  <c r="J34" i="19" s="1"/>
  <c r="E34" i="19"/>
  <c r="G34" i="19" s="1"/>
  <c r="I33" i="19"/>
  <c r="J33" i="19" s="1"/>
  <c r="G33" i="19"/>
  <c r="E33" i="19"/>
  <c r="I32" i="19"/>
  <c r="J32" i="19" s="1"/>
  <c r="E32" i="19"/>
  <c r="G32" i="19" s="1"/>
  <c r="I31" i="19"/>
  <c r="J31" i="19" s="1"/>
  <c r="E31" i="19"/>
  <c r="G31" i="19" s="1"/>
  <c r="I30" i="19"/>
  <c r="J30" i="19" s="1"/>
  <c r="E30" i="19"/>
  <c r="G30" i="19" s="1"/>
  <c r="I29" i="19"/>
  <c r="J29" i="19" s="1"/>
  <c r="E29" i="19"/>
  <c r="G29" i="19" s="1"/>
  <c r="I28" i="19"/>
  <c r="J28" i="19" s="1"/>
  <c r="E28" i="19"/>
  <c r="G28" i="19" s="1"/>
  <c r="I27" i="19"/>
  <c r="J27" i="19" s="1"/>
  <c r="E27" i="19"/>
  <c r="G27" i="19" s="1"/>
  <c r="I26" i="19"/>
  <c r="J26" i="19" s="1"/>
  <c r="E26" i="19"/>
  <c r="G26" i="19" s="1"/>
  <c r="I25" i="19"/>
  <c r="J25" i="19" s="1"/>
  <c r="E25" i="19"/>
  <c r="G25" i="19" s="1"/>
  <c r="I24" i="19"/>
  <c r="J24" i="19" s="1"/>
  <c r="E24" i="19"/>
  <c r="G24" i="19" s="1"/>
  <c r="I23" i="19"/>
  <c r="J23" i="19" s="1"/>
  <c r="E23" i="19"/>
  <c r="G23" i="19" s="1"/>
  <c r="I22" i="19"/>
  <c r="J22" i="19" s="1"/>
  <c r="E22" i="19"/>
  <c r="G22" i="19" s="1"/>
  <c r="I21" i="19"/>
  <c r="J21" i="19" s="1"/>
  <c r="E21" i="19"/>
  <c r="G21" i="19" s="1"/>
  <c r="I20" i="19"/>
  <c r="J20" i="19" s="1"/>
  <c r="E20" i="19"/>
  <c r="G20" i="19" s="1"/>
  <c r="I19" i="19"/>
  <c r="J19" i="19" s="1"/>
  <c r="E19" i="19"/>
  <c r="G19" i="19" s="1"/>
  <c r="I18" i="19"/>
  <c r="J18" i="19" s="1"/>
  <c r="E18" i="19"/>
  <c r="G18" i="19" s="1"/>
  <c r="I17" i="19"/>
  <c r="J17" i="19" s="1"/>
  <c r="E17" i="19"/>
  <c r="G17" i="19" s="1"/>
  <c r="I16" i="19"/>
  <c r="J16" i="19" s="1"/>
  <c r="E16" i="19"/>
  <c r="G16" i="19" s="1"/>
  <c r="I15" i="19"/>
  <c r="J15" i="19" s="1"/>
  <c r="E15" i="19"/>
  <c r="G15" i="19" s="1"/>
  <c r="I14" i="19"/>
  <c r="J14" i="19" s="1"/>
  <c r="E14" i="19"/>
  <c r="G14" i="19" s="1"/>
  <c r="I13" i="19"/>
  <c r="J13" i="19" s="1"/>
  <c r="E13" i="19"/>
  <c r="G13" i="19" s="1"/>
  <c r="I12" i="19"/>
  <c r="J12" i="19" s="1"/>
  <c r="E12" i="19"/>
  <c r="G12" i="19" s="1"/>
  <c r="I11" i="19"/>
  <c r="J11" i="19" s="1"/>
  <c r="E11" i="19"/>
  <c r="G11" i="19" s="1"/>
  <c r="I10" i="19"/>
  <c r="J10" i="19" s="1"/>
  <c r="E10" i="19"/>
  <c r="G10" i="19" s="1"/>
  <c r="I9" i="19"/>
  <c r="J9" i="19" s="1"/>
  <c r="E9" i="19"/>
  <c r="G9" i="19" s="1"/>
  <c r="I8" i="19"/>
  <c r="J8" i="19" s="1"/>
  <c r="E8" i="19"/>
  <c r="G8" i="19" s="1"/>
  <c r="I7" i="19"/>
  <c r="J7" i="19" s="1"/>
  <c r="E7" i="19"/>
  <c r="G7" i="19" s="1"/>
  <c r="I6" i="19"/>
  <c r="J6" i="19" s="1"/>
  <c r="E6" i="19"/>
  <c r="G6" i="19" s="1"/>
  <c r="I5" i="19"/>
  <c r="J5" i="19" s="1"/>
  <c r="E5" i="19"/>
  <c r="G5" i="19" s="1"/>
  <c r="I4" i="19"/>
  <c r="J4" i="19" s="1"/>
  <c r="E4" i="19"/>
  <c r="G4" i="19" s="1"/>
  <c r="I3" i="19"/>
  <c r="J3" i="19" s="1"/>
  <c r="E3" i="19"/>
  <c r="G3" i="19" s="1"/>
  <c r="I120" i="18"/>
  <c r="J120" i="18" s="1"/>
  <c r="E120" i="18"/>
  <c r="G120" i="18" s="1"/>
  <c r="I119" i="18"/>
  <c r="J119" i="18" s="1"/>
  <c r="E119" i="18"/>
  <c r="G119" i="18" s="1"/>
  <c r="I118" i="18"/>
  <c r="J118" i="18" s="1"/>
  <c r="E118" i="18"/>
  <c r="G118" i="18" s="1"/>
  <c r="I117" i="18"/>
  <c r="J117" i="18" s="1"/>
  <c r="G117" i="18"/>
  <c r="E117" i="18"/>
  <c r="I116" i="18"/>
  <c r="J116" i="18" s="1"/>
  <c r="E116" i="18"/>
  <c r="G116" i="18" s="1"/>
  <c r="I115" i="18"/>
  <c r="J115" i="18" s="1"/>
  <c r="E115" i="18"/>
  <c r="G115" i="18" s="1"/>
  <c r="I114" i="18"/>
  <c r="J114" i="18" s="1"/>
  <c r="E114" i="18"/>
  <c r="G114" i="18" s="1"/>
  <c r="I113" i="18"/>
  <c r="J113" i="18" s="1"/>
  <c r="E113" i="18"/>
  <c r="G113" i="18" s="1"/>
  <c r="I112" i="18"/>
  <c r="J112" i="18" s="1"/>
  <c r="E112" i="18"/>
  <c r="G112" i="18" s="1"/>
  <c r="I111" i="18"/>
  <c r="J111" i="18" s="1"/>
  <c r="E111" i="18"/>
  <c r="G111" i="18" s="1"/>
  <c r="I110" i="18"/>
  <c r="J110" i="18" s="1"/>
  <c r="E110" i="18"/>
  <c r="G110" i="18" s="1"/>
  <c r="I109" i="18"/>
  <c r="J109" i="18" s="1"/>
  <c r="E109" i="18"/>
  <c r="G109" i="18" s="1"/>
  <c r="I108" i="18"/>
  <c r="J108" i="18" s="1"/>
  <c r="E108" i="18"/>
  <c r="G108" i="18" s="1"/>
  <c r="I107" i="18"/>
  <c r="J107" i="18" s="1"/>
  <c r="E107" i="18"/>
  <c r="G107" i="18" s="1"/>
  <c r="I106" i="18"/>
  <c r="J106" i="18" s="1"/>
  <c r="E106" i="18"/>
  <c r="G106" i="18" s="1"/>
  <c r="I105" i="18"/>
  <c r="J105" i="18" s="1"/>
  <c r="E105" i="18"/>
  <c r="G105" i="18" s="1"/>
  <c r="I104" i="18"/>
  <c r="J104" i="18" s="1"/>
  <c r="E104" i="18"/>
  <c r="G104" i="18" s="1"/>
  <c r="I103" i="18"/>
  <c r="J103" i="18" s="1"/>
  <c r="E103" i="18"/>
  <c r="G103" i="18" s="1"/>
  <c r="I102" i="18"/>
  <c r="J102" i="18" s="1"/>
  <c r="E102" i="18"/>
  <c r="G102" i="18" s="1"/>
  <c r="I101" i="18"/>
  <c r="J101" i="18" s="1"/>
  <c r="G101" i="18"/>
  <c r="E101" i="18"/>
  <c r="I100" i="18"/>
  <c r="J100" i="18" s="1"/>
  <c r="E100" i="18"/>
  <c r="G100" i="18" s="1"/>
  <c r="I99" i="18"/>
  <c r="J99" i="18" s="1"/>
  <c r="E99" i="18"/>
  <c r="G99" i="18" s="1"/>
  <c r="I98" i="18"/>
  <c r="J98" i="18" s="1"/>
  <c r="E98" i="18"/>
  <c r="G98" i="18" s="1"/>
  <c r="I97" i="18"/>
  <c r="J97" i="18" s="1"/>
  <c r="E97" i="18"/>
  <c r="G97" i="18" s="1"/>
  <c r="I96" i="18"/>
  <c r="J96" i="18" s="1"/>
  <c r="E96" i="18"/>
  <c r="G96" i="18" s="1"/>
  <c r="I95" i="18"/>
  <c r="J95" i="18" s="1"/>
  <c r="E95" i="18"/>
  <c r="G95" i="18" s="1"/>
  <c r="I94" i="18"/>
  <c r="J94" i="18" s="1"/>
  <c r="E94" i="18"/>
  <c r="G94" i="18" s="1"/>
  <c r="I93" i="18"/>
  <c r="J93" i="18" s="1"/>
  <c r="E93" i="18"/>
  <c r="G93" i="18" s="1"/>
  <c r="I92" i="18"/>
  <c r="J92" i="18" s="1"/>
  <c r="E92" i="18"/>
  <c r="G92" i="18" s="1"/>
  <c r="I91" i="18"/>
  <c r="J91" i="18" s="1"/>
  <c r="E91" i="18"/>
  <c r="G91" i="18" s="1"/>
  <c r="I90" i="18"/>
  <c r="J90" i="18" s="1"/>
  <c r="E90" i="18"/>
  <c r="G90" i="18" s="1"/>
  <c r="I89" i="18"/>
  <c r="J89" i="18" s="1"/>
  <c r="E89" i="18"/>
  <c r="G89" i="18" s="1"/>
  <c r="I83" i="18"/>
  <c r="J83" i="18" s="1"/>
  <c r="E83" i="18"/>
  <c r="G83" i="18" s="1"/>
  <c r="I82" i="18"/>
  <c r="J82" i="18" s="1"/>
  <c r="E82" i="18"/>
  <c r="G82" i="18" s="1"/>
  <c r="J81" i="18"/>
  <c r="I81" i="18"/>
  <c r="E81" i="18"/>
  <c r="G81" i="18" s="1"/>
  <c r="I80" i="18"/>
  <c r="J80" i="18" s="1"/>
  <c r="E80" i="18"/>
  <c r="G80" i="18" s="1"/>
  <c r="I79" i="18"/>
  <c r="J79" i="18" s="1"/>
  <c r="E79" i="18"/>
  <c r="G79" i="18" s="1"/>
  <c r="I78" i="18"/>
  <c r="J78" i="18" s="1"/>
  <c r="E78" i="18"/>
  <c r="G78" i="18" s="1"/>
  <c r="J77" i="18"/>
  <c r="I77" i="18"/>
  <c r="E77" i="18"/>
  <c r="G77" i="18" s="1"/>
  <c r="I76" i="18"/>
  <c r="J76" i="18" s="1"/>
  <c r="E76" i="18"/>
  <c r="G76" i="18" s="1"/>
  <c r="I75" i="18"/>
  <c r="J75" i="18" s="1"/>
  <c r="E75" i="18"/>
  <c r="G75" i="18" s="1"/>
  <c r="I74" i="18"/>
  <c r="J74" i="18" s="1"/>
  <c r="E74" i="18"/>
  <c r="G74" i="18" s="1"/>
  <c r="J73" i="18"/>
  <c r="I73" i="18"/>
  <c r="E73" i="18"/>
  <c r="G73" i="18" s="1"/>
  <c r="I72" i="18"/>
  <c r="J72" i="18" s="1"/>
  <c r="E72" i="18"/>
  <c r="G72" i="18" s="1"/>
  <c r="I71" i="18"/>
  <c r="J71" i="18" s="1"/>
  <c r="E71" i="18"/>
  <c r="G71" i="18" s="1"/>
  <c r="I70" i="18"/>
  <c r="J70" i="18" s="1"/>
  <c r="E70" i="18"/>
  <c r="G70" i="18" s="1"/>
  <c r="J69" i="18"/>
  <c r="I69" i="18"/>
  <c r="E69" i="18"/>
  <c r="G69" i="18" s="1"/>
  <c r="I68" i="18"/>
  <c r="J68" i="18" s="1"/>
  <c r="E68" i="18"/>
  <c r="G68" i="18" s="1"/>
  <c r="I67" i="18"/>
  <c r="J67" i="18" s="1"/>
  <c r="E67" i="18"/>
  <c r="G67" i="18" s="1"/>
  <c r="I66" i="18"/>
  <c r="J66" i="18" s="1"/>
  <c r="E66" i="18"/>
  <c r="G66" i="18" s="1"/>
  <c r="J65" i="18"/>
  <c r="I65" i="18"/>
  <c r="E65" i="18"/>
  <c r="G65" i="18" s="1"/>
  <c r="I64" i="18"/>
  <c r="J64" i="18" s="1"/>
  <c r="E64" i="18"/>
  <c r="G64" i="18" s="1"/>
  <c r="I63" i="18"/>
  <c r="J63" i="18" s="1"/>
  <c r="E63" i="18"/>
  <c r="G63" i="18" s="1"/>
  <c r="I62" i="18"/>
  <c r="J62" i="18" s="1"/>
  <c r="E62" i="18"/>
  <c r="G62" i="18" s="1"/>
  <c r="J61" i="18"/>
  <c r="I61" i="18"/>
  <c r="E61" i="18"/>
  <c r="G61" i="18" s="1"/>
  <c r="I60" i="18"/>
  <c r="J60" i="18" s="1"/>
  <c r="E60" i="18"/>
  <c r="G60" i="18" s="1"/>
  <c r="I59" i="18"/>
  <c r="J59" i="18" s="1"/>
  <c r="E59" i="18"/>
  <c r="G59" i="18" s="1"/>
  <c r="I58" i="18"/>
  <c r="J58" i="18" s="1"/>
  <c r="E58" i="18"/>
  <c r="G58" i="18" s="1"/>
  <c r="J57" i="18"/>
  <c r="I57" i="18"/>
  <c r="E57" i="18"/>
  <c r="G57" i="18" s="1"/>
  <c r="I56" i="18"/>
  <c r="J56" i="18" s="1"/>
  <c r="E56" i="18"/>
  <c r="G56" i="18" s="1"/>
  <c r="I55" i="18"/>
  <c r="J55" i="18" s="1"/>
  <c r="E55" i="18"/>
  <c r="G55" i="18" s="1"/>
  <c r="I54" i="18"/>
  <c r="J54" i="18" s="1"/>
  <c r="E54" i="18"/>
  <c r="G54" i="18" s="1"/>
  <c r="J53" i="18"/>
  <c r="I53" i="18"/>
  <c r="E53" i="18"/>
  <c r="G53" i="18" s="1"/>
  <c r="I52" i="18"/>
  <c r="J52" i="18" s="1"/>
  <c r="E52" i="18"/>
  <c r="G52" i="18" s="1"/>
  <c r="I51" i="18"/>
  <c r="J51" i="18" s="1"/>
  <c r="E51" i="18"/>
  <c r="G51" i="18" s="1"/>
  <c r="I50" i="18"/>
  <c r="J50" i="18" s="1"/>
  <c r="E50" i="18"/>
  <c r="G50" i="18" s="1"/>
  <c r="J49" i="18"/>
  <c r="I49" i="18"/>
  <c r="E49" i="18"/>
  <c r="G49" i="18" s="1"/>
  <c r="I48" i="18"/>
  <c r="J48" i="18" s="1"/>
  <c r="E48" i="18"/>
  <c r="G48" i="18" s="1"/>
  <c r="I47" i="18"/>
  <c r="J47" i="18" s="1"/>
  <c r="E47" i="18"/>
  <c r="G47" i="18" s="1"/>
  <c r="I46" i="18"/>
  <c r="J46" i="18" s="1"/>
  <c r="E46" i="18"/>
  <c r="G46" i="18" s="1"/>
  <c r="J45" i="18"/>
  <c r="I45" i="18"/>
  <c r="E45" i="18"/>
  <c r="G45" i="18" s="1"/>
  <c r="I44" i="18"/>
  <c r="J44" i="18" s="1"/>
  <c r="E44" i="18"/>
  <c r="G44" i="18" s="1"/>
  <c r="I43" i="18"/>
  <c r="J43" i="18" s="1"/>
  <c r="E43" i="18"/>
  <c r="G43" i="18" s="1"/>
  <c r="I42" i="18"/>
  <c r="J42" i="18" s="1"/>
  <c r="E42" i="18"/>
  <c r="G42" i="18" s="1"/>
  <c r="J41" i="18"/>
  <c r="I41" i="18"/>
  <c r="E41" i="18"/>
  <c r="G41" i="18" s="1"/>
  <c r="I40" i="18"/>
  <c r="J40" i="18" s="1"/>
  <c r="E40" i="18"/>
  <c r="G40" i="18" s="1"/>
  <c r="I39" i="18"/>
  <c r="J39" i="18" s="1"/>
  <c r="E39" i="18"/>
  <c r="G39" i="18" s="1"/>
  <c r="I38" i="18"/>
  <c r="J38" i="18" s="1"/>
  <c r="E38" i="18"/>
  <c r="G38" i="18" s="1"/>
  <c r="J37" i="18"/>
  <c r="I37" i="18"/>
  <c r="E37" i="18"/>
  <c r="G37" i="18" s="1"/>
  <c r="I36" i="18"/>
  <c r="J36" i="18" s="1"/>
  <c r="E36" i="18"/>
  <c r="G36" i="18" s="1"/>
  <c r="I35" i="18"/>
  <c r="J35" i="18" s="1"/>
  <c r="E35" i="18"/>
  <c r="G35" i="18" s="1"/>
  <c r="I34" i="18"/>
  <c r="J34" i="18" s="1"/>
  <c r="E34" i="18"/>
  <c r="G34" i="18" s="1"/>
  <c r="J33" i="18"/>
  <c r="I33" i="18"/>
  <c r="E33" i="18"/>
  <c r="G33" i="18" s="1"/>
  <c r="I32" i="18"/>
  <c r="J32" i="18" s="1"/>
  <c r="E32" i="18"/>
  <c r="G32" i="18" s="1"/>
  <c r="I31" i="18"/>
  <c r="J31" i="18" s="1"/>
  <c r="E31" i="18"/>
  <c r="G31" i="18" s="1"/>
  <c r="I30" i="18"/>
  <c r="J30" i="18" s="1"/>
  <c r="E30" i="18"/>
  <c r="G30" i="18" s="1"/>
  <c r="I29" i="18"/>
  <c r="J29" i="18" s="1"/>
  <c r="E29" i="18"/>
  <c r="G29" i="18" s="1"/>
  <c r="I28" i="18"/>
  <c r="J28" i="18" s="1"/>
  <c r="E28" i="18"/>
  <c r="G28" i="18" s="1"/>
  <c r="I27" i="18"/>
  <c r="J27" i="18" s="1"/>
  <c r="E27" i="18"/>
  <c r="G27" i="18" s="1"/>
  <c r="I26" i="18"/>
  <c r="J26" i="18" s="1"/>
  <c r="E26" i="18"/>
  <c r="G26" i="18" s="1"/>
  <c r="I25" i="18"/>
  <c r="J25" i="18" s="1"/>
  <c r="E25" i="18"/>
  <c r="G25" i="18" s="1"/>
  <c r="I24" i="18"/>
  <c r="J24" i="18" s="1"/>
  <c r="E24" i="18"/>
  <c r="G24" i="18" s="1"/>
  <c r="I23" i="18"/>
  <c r="J23" i="18" s="1"/>
  <c r="E23" i="18"/>
  <c r="G23" i="18" s="1"/>
  <c r="I22" i="18"/>
  <c r="J22" i="18" s="1"/>
  <c r="E22" i="18"/>
  <c r="G22" i="18" s="1"/>
  <c r="I21" i="18"/>
  <c r="J21" i="18" s="1"/>
  <c r="E21" i="18"/>
  <c r="G21" i="18" s="1"/>
  <c r="I20" i="18"/>
  <c r="J20" i="18" s="1"/>
  <c r="E20" i="18"/>
  <c r="G20" i="18" s="1"/>
  <c r="I19" i="18"/>
  <c r="J19" i="18" s="1"/>
  <c r="E19" i="18"/>
  <c r="G19" i="18" s="1"/>
  <c r="I18" i="18"/>
  <c r="J18" i="18" s="1"/>
  <c r="E18" i="18"/>
  <c r="G18" i="18" s="1"/>
  <c r="I17" i="18"/>
  <c r="J17" i="18" s="1"/>
  <c r="E17" i="18"/>
  <c r="G17" i="18" s="1"/>
  <c r="I16" i="18"/>
  <c r="J16" i="18" s="1"/>
  <c r="G16" i="18"/>
  <c r="E16" i="18"/>
  <c r="I15" i="18"/>
  <c r="J15" i="18" s="1"/>
  <c r="E15" i="18"/>
  <c r="G15" i="18" s="1"/>
  <c r="I14" i="18"/>
  <c r="J14" i="18" s="1"/>
  <c r="E14" i="18"/>
  <c r="G14" i="18" s="1"/>
  <c r="I13" i="18"/>
  <c r="J13" i="18" s="1"/>
  <c r="E13" i="18"/>
  <c r="G13" i="18" s="1"/>
  <c r="I12" i="18"/>
  <c r="J12" i="18" s="1"/>
  <c r="E12" i="18"/>
  <c r="G12" i="18" s="1"/>
  <c r="I11" i="18"/>
  <c r="J11" i="18" s="1"/>
  <c r="E11" i="18"/>
  <c r="G11" i="18" s="1"/>
  <c r="I10" i="18"/>
  <c r="J10" i="18" s="1"/>
  <c r="E10" i="18"/>
  <c r="G10" i="18" s="1"/>
  <c r="I9" i="18"/>
  <c r="J9" i="18" s="1"/>
  <c r="E9" i="18"/>
  <c r="G9" i="18" s="1"/>
  <c r="I8" i="18"/>
  <c r="J8" i="18" s="1"/>
  <c r="E8" i="18"/>
  <c r="G8" i="18" s="1"/>
  <c r="I7" i="18"/>
  <c r="J7" i="18" s="1"/>
  <c r="E7" i="18"/>
  <c r="G7" i="18" s="1"/>
  <c r="I6" i="18"/>
  <c r="J6" i="18" s="1"/>
  <c r="E6" i="18"/>
  <c r="G6" i="18" s="1"/>
  <c r="I5" i="18"/>
  <c r="J5" i="18" s="1"/>
  <c r="E5" i="18"/>
  <c r="G5" i="18" s="1"/>
  <c r="I4" i="18"/>
  <c r="J4" i="18" s="1"/>
  <c r="E4" i="18"/>
  <c r="G4" i="18" s="1"/>
  <c r="I3" i="18"/>
  <c r="J3" i="18" s="1"/>
  <c r="E3" i="18"/>
  <c r="G3" i="18" s="1"/>
  <c r="I120" i="17"/>
  <c r="J120" i="17" s="1"/>
  <c r="E120" i="17"/>
  <c r="G120" i="17" s="1"/>
  <c r="I119" i="17"/>
  <c r="J119" i="17" s="1"/>
  <c r="E119" i="17"/>
  <c r="G119" i="17" s="1"/>
  <c r="I118" i="17"/>
  <c r="J118" i="17" s="1"/>
  <c r="E118" i="17"/>
  <c r="G118" i="17" s="1"/>
  <c r="I117" i="17"/>
  <c r="J117" i="17" s="1"/>
  <c r="E117" i="17"/>
  <c r="G117" i="17" s="1"/>
  <c r="I116" i="17"/>
  <c r="J116" i="17" s="1"/>
  <c r="E116" i="17"/>
  <c r="G116" i="17" s="1"/>
  <c r="I115" i="17"/>
  <c r="J115" i="17" s="1"/>
  <c r="E115" i="17"/>
  <c r="G115" i="17" s="1"/>
  <c r="I114" i="17"/>
  <c r="J114" i="17" s="1"/>
  <c r="E114" i="17"/>
  <c r="G114" i="17" s="1"/>
  <c r="I113" i="17"/>
  <c r="J113" i="17" s="1"/>
  <c r="E113" i="17"/>
  <c r="G113" i="17" s="1"/>
  <c r="I112" i="17"/>
  <c r="J112" i="17" s="1"/>
  <c r="E112" i="17"/>
  <c r="G112" i="17" s="1"/>
  <c r="I111" i="17"/>
  <c r="J111" i="17" s="1"/>
  <c r="E111" i="17"/>
  <c r="G111" i="17" s="1"/>
  <c r="I110" i="17"/>
  <c r="J110" i="17" s="1"/>
  <c r="E110" i="17"/>
  <c r="G110" i="17" s="1"/>
  <c r="I109" i="17"/>
  <c r="J109" i="17" s="1"/>
  <c r="E109" i="17"/>
  <c r="G109" i="17" s="1"/>
  <c r="I108" i="17"/>
  <c r="J108" i="17" s="1"/>
  <c r="E108" i="17"/>
  <c r="G108" i="17" s="1"/>
  <c r="I107" i="17"/>
  <c r="J107" i="17" s="1"/>
  <c r="E107" i="17"/>
  <c r="G107" i="17" s="1"/>
  <c r="I106" i="17"/>
  <c r="J106" i="17" s="1"/>
  <c r="E106" i="17"/>
  <c r="G106" i="17" s="1"/>
  <c r="I105" i="17"/>
  <c r="J105" i="17" s="1"/>
  <c r="E105" i="17"/>
  <c r="G105" i="17" s="1"/>
  <c r="I104" i="17"/>
  <c r="J104" i="17" s="1"/>
  <c r="E104" i="17"/>
  <c r="G104" i="17" s="1"/>
  <c r="I103" i="17"/>
  <c r="J103" i="17" s="1"/>
  <c r="E103" i="17"/>
  <c r="G103" i="17" s="1"/>
  <c r="I102" i="17"/>
  <c r="J102" i="17" s="1"/>
  <c r="E102" i="17"/>
  <c r="G102" i="17" s="1"/>
  <c r="I101" i="17"/>
  <c r="J101" i="17" s="1"/>
  <c r="E101" i="17"/>
  <c r="G101" i="17" s="1"/>
  <c r="I100" i="17"/>
  <c r="J100" i="17" s="1"/>
  <c r="E100" i="17"/>
  <c r="G100" i="17" s="1"/>
  <c r="I99" i="17"/>
  <c r="J99" i="17" s="1"/>
  <c r="E99" i="17"/>
  <c r="G99" i="17" s="1"/>
  <c r="I98" i="17"/>
  <c r="J98" i="17" s="1"/>
  <c r="E98" i="17"/>
  <c r="G98" i="17" s="1"/>
  <c r="J97" i="17"/>
  <c r="I97" i="17"/>
  <c r="E97" i="17"/>
  <c r="G97" i="17" s="1"/>
  <c r="I96" i="17"/>
  <c r="J96" i="17" s="1"/>
  <c r="E96" i="17"/>
  <c r="G96" i="17" s="1"/>
  <c r="I95" i="17"/>
  <c r="J95" i="17" s="1"/>
  <c r="E95" i="17"/>
  <c r="G95" i="17" s="1"/>
  <c r="I94" i="17"/>
  <c r="J94" i="17" s="1"/>
  <c r="E94" i="17"/>
  <c r="G94" i="17" s="1"/>
  <c r="I93" i="17"/>
  <c r="J93" i="17" s="1"/>
  <c r="E93" i="17"/>
  <c r="G93" i="17" s="1"/>
  <c r="I92" i="17"/>
  <c r="J92" i="17" s="1"/>
  <c r="E92" i="17"/>
  <c r="G92" i="17" s="1"/>
  <c r="I91" i="17"/>
  <c r="J91" i="17" s="1"/>
  <c r="E91" i="17"/>
  <c r="G91" i="17" s="1"/>
  <c r="I90" i="17"/>
  <c r="J90" i="17" s="1"/>
  <c r="E90" i="17"/>
  <c r="G90" i="17" s="1"/>
  <c r="I89" i="17"/>
  <c r="J89" i="17" s="1"/>
  <c r="E89" i="17"/>
  <c r="G89" i="17" s="1"/>
  <c r="I83" i="17"/>
  <c r="J83" i="17" s="1"/>
  <c r="E83" i="17"/>
  <c r="G83" i="17" s="1"/>
  <c r="I82" i="17"/>
  <c r="J82" i="17" s="1"/>
  <c r="E82" i="17"/>
  <c r="G82" i="17" s="1"/>
  <c r="I81" i="17"/>
  <c r="J81" i="17" s="1"/>
  <c r="E81" i="17"/>
  <c r="G81" i="17" s="1"/>
  <c r="I80" i="17"/>
  <c r="J80" i="17" s="1"/>
  <c r="E80" i="17"/>
  <c r="G80" i="17" s="1"/>
  <c r="I79" i="17"/>
  <c r="J79" i="17" s="1"/>
  <c r="E79" i="17"/>
  <c r="G79" i="17" s="1"/>
  <c r="I78" i="17"/>
  <c r="J78" i="17" s="1"/>
  <c r="E78" i="17"/>
  <c r="G78" i="17" s="1"/>
  <c r="I77" i="17"/>
  <c r="J77" i="17" s="1"/>
  <c r="E77" i="17"/>
  <c r="G77" i="17" s="1"/>
  <c r="I76" i="17"/>
  <c r="J76" i="17" s="1"/>
  <c r="E76" i="17"/>
  <c r="G76" i="17" s="1"/>
  <c r="I75" i="17"/>
  <c r="J75" i="17" s="1"/>
  <c r="E75" i="17"/>
  <c r="G75" i="17" s="1"/>
  <c r="I74" i="17"/>
  <c r="J74" i="17" s="1"/>
  <c r="E74" i="17"/>
  <c r="G74" i="17" s="1"/>
  <c r="I73" i="17"/>
  <c r="J73" i="17" s="1"/>
  <c r="E73" i="17"/>
  <c r="G73" i="17" s="1"/>
  <c r="I72" i="17"/>
  <c r="J72" i="17" s="1"/>
  <c r="E72" i="17"/>
  <c r="G72" i="17" s="1"/>
  <c r="I71" i="17"/>
  <c r="J71" i="17" s="1"/>
  <c r="E71" i="17"/>
  <c r="G71" i="17" s="1"/>
  <c r="I70" i="17"/>
  <c r="J70" i="17" s="1"/>
  <c r="E70" i="17"/>
  <c r="G70" i="17" s="1"/>
  <c r="I69" i="17"/>
  <c r="J69" i="17" s="1"/>
  <c r="E69" i="17"/>
  <c r="G69" i="17" s="1"/>
  <c r="I68" i="17"/>
  <c r="J68" i="17" s="1"/>
  <c r="E68" i="17"/>
  <c r="G68" i="17" s="1"/>
  <c r="I67" i="17"/>
  <c r="J67" i="17" s="1"/>
  <c r="E67" i="17"/>
  <c r="G67" i="17" s="1"/>
  <c r="I66" i="17"/>
  <c r="J66" i="17" s="1"/>
  <c r="E66" i="17"/>
  <c r="G66" i="17" s="1"/>
  <c r="I65" i="17"/>
  <c r="J65" i="17" s="1"/>
  <c r="E65" i="17"/>
  <c r="G65" i="17" s="1"/>
  <c r="I64" i="17"/>
  <c r="J64" i="17" s="1"/>
  <c r="E64" i="17"/>
  <c r="G64" i="17" s="1"/>
  <c r="I63" i="17"/>
  <c r="J63" i="17" s="1"/>
  <c r="E63" i="17"/>
  <c r="G63" i="17" s="1"/>
  <c r="I62" i="17"/>
  <c r="J62" i="17" s="1"/>
  <c r="E62" i="17"/>
  <c r="G62" i="17" s="1"/>
  <c r="I61" i="17"/>
  <c r="J61" i="17" s="1"/>
  <c r="E61" i="17"/>
  <c r="G61" i="17" s="1"/>
  <c r="I60" i="17"/>
  <c r="J60" i="17" s="1"/>
  <c r="E60" i="17"/>
  <c r="G60" i="17" s="1"/>
  <c r="I59" i="17"/>
  <c r="J59" i="17" s="1"/>
  <c r="E59" i="17"/>
  <c r="G59" i="17" s="1"/>
  <c r="I58" i="17"/>
  <c r="J58" i="17" s="1"/>
  <c r="E58" i="17"/>
  <c r="G58" i="17" s="1"/>
  <c r="I57" i="17"/>
  <c r="J57" i="17" s="1"/>
  <c r="E57" i="17"/>
  <c r="G57" i="17" s="1"/>
  <c r="I56" i="17"/>
  <c r="J56" i="17" s="1"/>
  <c r="E56" i="17"/>
  <c r="G56" i="17" s="1"/>
  <c r="I55" i="17"/>
  <c r="J55" i="17" s="1"/>
  <c r="E55" i="17"/>
  <c r="G55" i="17" s="1"/>
  <c r="I54" i="17"/>
  <c r="J54" i="17" s="1"/>
  <c r="E54" i="17"/>
  <c r="G54" i="17" s="1"/>
  <c r="I53" i="17"/>
  <c r="J53" i="17" s="1"/>
  <c r="E53" i="17"/>
  <c r="G53" i="17" s="1"/>
  <c r="I52" i="17"/>
  <c r="J52" i="17" s="1"/>
  <c r="E52" i="17"/>
  <c r="G52" i="17" s="1"/>
  <c r="I51" i="17"/>
  <c r="J51" i="17" s="1"/>
  <c r="E51" i="17"/>
  <c r="G51" i="17" s="1"/>
  <c r="I50" i="17"/>
  <c r="J50" i="17" s="1"/>
  <c r="E50" i="17"/>
  <c r="G50" i="17" s="1"/>
  <c r="I49" i="17"/>
  <c r="J49" i="17" s="1"/>
  <c r="E49" i="17"/>
  <c r="G49" i="17" s="1"/>
  <c r="I48" i="17"/>
  <c r="J48" i="17" s="1"/>
  <c r="E48" i="17"/>
  <c r="G48" i="17" s="1"/>
  <c r="I47" i="17"/>
  <c r="J47" i="17" s="1"/>
  <c r="E47" i="17"/>
  <c r="G47" i="17" s="1"/>
  <c r="I46" i="17"/>
  <c r="J46" i="17" s="1"/>
  <c r="E46" i="17"/>
  <c r="G46" i="17" s="1"/>
  <c r="I45" i="17"/>
  <c r="J45" i="17" s="1"/>
  <c r="E45" i="17"/>
  <c r="G45" i="17" s="1"/>
  <c r="I44" i="17"/>
  <c r="J44" i="17" s="1"/>
  <c r="E44" i="17"/>
  <c r="G44" i="17" s="1"/>
  <c r="I43" i="17"/>
  <c r="J43" i="17" s="1"/>
  <c r="E43" i="17"/>
  <c r="G43" i="17" s="1"/>
  <c r="I42" i="17"/>
  <c r="J42" i="17" s="1"/>
  <c r="E42" i="17"/>
  <c r="G42" i="17" s="1"/>
  <c r="I41" i="17"/>
  <c r="J41" i="17" s="1"/>
  <c r="E41" i="17"/>
  <c r="G41" i="17" s="1"/>
  <c r="I40" i="17"/>
  <c r="J40" i="17" s="1"/>
  <c r="E40" i="17"/>
  <c r="G40" i="17" s="1"/>
  <c r="I39" i="17"/>
  <c r="J39" i="17" s="1"/>
  <c r="E39" i="17"/>
  <c r="G39" i="17" s="1"/>
  <c r="I38" i="17"/>
  <c r="J38" i="17" s="1"/>
  <c r="E38" i="17"/>
  <c r="G38" i="17" s="1"/>
  <c r="I37" i="17"/>
  <c r="J37" i="17" s="1"/>
  <c r="E37" i="17"/>
  <c r="G37" i="17" s="1"/>
  <c r="I36" i="17"/>
  <c r="J36" i="17" s="1"/>
  <c r="E36" i="17"/>
  <c r="G36" i="17" s="1"/>
  <c r="I35" i="17"/>
  <c r="J35" i="17" s="1"/>
  <c r="E35" i="17"/>
  <c r="G35" i="17" s="1"/>
  <c r="I34" i="17"/>
  <c r="J34" i="17" s="1"/>
  <c r="E34" i="17"/>
  <c r="G34" i="17" s="1"/>
  <c r="I33" i="17"/>
  <c r="J33" i="17" s="1"/>
  <c r="E33" i="17"/>
  <c r="G33" i="17" s="1"/>
  <c r="I32" i="17"/>
  <c r="J32" i="17" s="1"/>
  <c r="E32" i="17"/>
  <c r="G32" i="17" s="1"/>
  <c r="I31" i="17"/>
  <c r="J31" i="17" s="1"/>
  <c r="E31" i="17"/>
  <c r="G31" i="17" s="1"/>
  <c r="I30" i="17"/>
  <c r="J30" i="17" s="1"/>
  <c r="E30" i="17"/>
  <c r="G30" i="17" s="1"/>
  <c r="I29" i="17"/>
  <c r="J29" i="17" s="1"/>
  <c r="E29" i="17"/>
  <c r="G29" i="17" s="1"/>
  <c r="I28" i="17"/>
  <c r="J28" i="17" s="1"/>
  <c r="E28" i="17"/>
  <c r="G28" i="17" s="1"/>
  <c r="I27" i="17"/>
  <c r="J27" i="17" s="1"/>
  <c r="E27" i="17"/>
  <c r="G27" i="17" s="1"/>
  <c r="I26" i="17"/>
  <c r="J26" i="17" s="1"/>
  <c r="E26" i="17"/>
  <c r="G26" i="17" s="1"/>
  <c r="I25" i="17"/>
  <c r="J25" i="17" s="1"/>
  <c r="E25" i="17"/>
  <c r="G25" i="17" s="1"/>
  <c r="I24" i="17"/>
  <c r="J24" i="17" s="1"/>
  <c r="E24" i="17"/>
  <c r="G24" i="17" s="1"/>
  <c r="I23" i="17"/>
  <c r="J23" i="17" s="1"/>
  <c r="E23" i="17"/>
  <c r="G23" i="17" s="1"/>
  <c r="I22" i="17"/>
  <c r="J22" i="17" s="1"/>
  <c r="E22" i="17"/>
  <c r="G22" i="17" s="1"/>
  <c r="I21" i="17"/>
  <c r="J21" i="17" s="1"/>
  <c r="E21" i="17"/>
  <c r="G21" i="17" s="1"/>
  <c r="I20" i="17"/>
  <c r="J20" i="17" s="1"/>
  <c r="E20" i="17"/>
  <c r="G20" i="17" s="1"/>
  <c r="I19" i="17"/>
  <c r="J19" i="17" s="1"/>
  <c r="E19" i="17"/>
  <c r="G19" i="17" s="1"/>
  <c r="I18" i="17"/>
  <c r="J18" i="17" s="1"/>
  <c r="E18" i="17"/>
  <c r="G18" i="17" s="1"/>
  <c r="I17" i="17"/>
  <c r="J17" i="17" s="1"/>
  <c r="E17" i="17"/>
  <c r="G17" i="17" s="1"/>
  <c r="I16" i="17"/>
  <c r="J16" i="17" s="1"/>
  <c r="E16" i="17"/>
  <c r="G16" i="17" s="1"/>
  <c r="I15" i="17"/>
  <c r="J15" i="17" s="1"/>
  <c r="E15" i="17"/>
  <c r="G15" i="17" s="1"/>
  <c r="I14" i="17"/>
  <c r="J14" i="17" s="1"/>
  <c r="E14" i="17"/>
  <c r="G14" i="17" s="1"/>
  <c r="I13" i="17"/>
  <c r="J13" i="17" s="1"/>
  <c r="E13" i="17"/>
  <c r="G13" i="17" s="1"/>
  <c r="I12" i="17"/>
  <c r="J12" i="17" s="1"/>
  <c r="E12" i="17"/>
  <c r="G12" i="17" s="1"/>
  <c r="I11" i="17"/>
  <c r="J11" i="17" s="1"/>
  <c r="E11" i="17"/>
  <c r="G11" i="17" s="1"/>
  <c r="I10" i="17"/>
  <c r="J10" i="17" s="1"/>
  <c r="E10" i="17"/>
  <c r="G10" i="17" s="1"/>
  <c r="I9" i="17"/>
  <c r="J9" i="17" s="1"/>
  <c r="E9" i="17"/>
  <c r="G9" i="17" s="1"/>
  <c r="I8" i="17"/>
  <c r="J8" i="17" s="1"/>
  <c r="E8" i="17"/>
  <c r="G8" i="17" s="1"/>
  <c r="I7" i="17"/>
  <c r="J7" i="17" s="1"/>
  <c r="E7" i="17"/>
  <c r="G7" i="17" s="1"/>
  <c r="I6" i="17"/>
  <c r="J6" i="17" s="1"/>
  <c r="E6" i="17"/>
  <c r="G6" i="17" s="1"/>
  <c r="I5" i="17"/>
  <c r="J5" i="17" s="1"/>
  <c r="E5" i="17"/>
  <c r="G5" i="17" s="1"/>
  <c r="I4" i="17"/>
  <c r="J4" i="17" s="1"/>
  <c r="E4" i="17"/>
  <c r="G4" i="17" s="1"/>
  <c r="I3" i="17"/>
  <c r="J3" i="17" s="1"/>
  <c r="E3" i="17"/>
  <c r="G3" i="17" s="1"/>
  <c r="I120" i="16"/>
  <c r="J120" i="16" s="1"/>
  <c r="G120" i="16"/>
  <c r="E120" i="16"/>
  <c r="I119" i="16"/>
  <c r="J119" i="16" s="1"/>
  <c r="E119" i="16"/>
  <c r="G119" i="16" s="1"/>
  <c r="I118" i="16"/>
  <c r="J118" i="16" s="1"/>
  <c r="G118" i="16"/>
  <c r="E118" i="16"/>
  <c r="I117" i="16"/>
  <c r="J117" i="16" s="1"/>
  <c r="E117" i="16"/>
  <c r="G117" i="16" s="1"/>
  <c r="I116" i="16"/>
  <c r="J116" i="16" s="1"/>
  <c r="E116" i="16"/>
  <c r="G116" i="16" s="1"/>
  <c r="I115" i="16"/>
  <c r="J115" i="16" s="1"/>
  <c r="E115" i="16"/>
  <c r="G115" i="16" s="1"/>
  <c r="I114" i="16"/>
  <c r="J114" i="16" s="1"/>
  <c r="E114" i="16"/>
  <c r="G114" i="16" s="1"/>
  <c r="I113" i="16"/>
  <c r="J113" i="16" s="1"/>
  <c r="E113" i="16"/>
  <c r="G113" i="16" s="1"/>
  <c r="I112" i="16"/>
  <c r="J112" i="16" s="1"/>
  <c r="E112" i="16"/>
  <c r="G112" i="16" s="1"/>
  <c r="I111" i="16"/>
  <c r="J111" i="16" s="1"/>
  <c r="E111" i="16"/>
  <c r="G111" i="16" s="1"/>
  <c r="I110" i="16"/>
  <c r="J110" i="16" s="1"/>
  <c r="E110" i="16"/>
  <c r="G110" i="16" s="1"/>
  <c r="I109" i="16"/>
  <c r="J109" i="16" s="1"/>
  <c r="E109" i="16"/>
  <c r="G109" i="16" s="1"/>
  <c r="I108" i="16"/>
  <c r="J108" i="16" s="1"/>
  <c r="E108" i="16"/>
  <c r="G108" i="16" s="1"/>
  <c r="I107" i="16"/>
  <c r="J107" i="16" s="1"/>
  <c r="E107" i="16"/>
  <c r="G107" i="16" s="1"/>
  <c r="I106" i="16"/>
  <c r="J106" i="16" s="1"/>
  <c r="E106" i="16"/>
  <c r="G106" i="16" s="1"/>
  <c r="I105" i="16"/>
  <c r="J105" i="16" s="1"/>
  <c r="E105" i="16"/>
  <c r="G105" i="16" s="1"/>
  <c r="I104" i="16"/>
  <c r="J104" i="16" s="1"/>
  <c r="E104" i="16"/>
  <c r="G104" i="16" s="1"/>
  <c r="I103" i="16"/>
  <c r="J103" i="16" s="1"/>
  <c r="E103" i="16"/>
  <c r="G103" i="16" s="1"/>
  <c r="I102" i="16"/>
  <c r="J102" i="16" s="1"/>
  <c r="G102" i="16"/>
  <c r="E102" i="16"/>
  <c r="I101" i="16"/>
  <c r="J101" i="16" s="1"/>
  <c r="E101" i="16"/>
  <c r="G101" i="16" s="1"/>
  <c r="I100" i="16"/>
  <c r="J100" i="16" s="1"/>
  <c r="E100" i="16"/>
  <c r="G100" i="16" s="1"/>
  <c r="I99" i="16"/>
  <c r="J99" i="16" s="1"/>
  <c r="E99" i="16"/>
  <c r="G99" i="16" s="1"/>
  <c r="I98" i="16"/>
  <c r="J98" i="16" s="1"/>
  <c r="E98" i="16"/>
  <c r="G98" i="16" s="1"/>
  <c r="I97" i="16"/>
  <c r="J97" i="16" s="1"/>
  <c r="E97" i="16"/>
  <c r="G97" i="16" s="1"/>
  <c r="I96" i="16"/>
  <c r="J96" i="16" s="1"/>
  <c r="E96" i="16"/>
  <c r="G96" i="16" s="1"/>
  <c r="I95" i="16"/>
  <c r="J95" i="16" s="1"/>
  <c r="E95" i="16"/>
  <c r="G95" i="16" s="1"/>
  <c r="I94" i="16"/>
  <c r="J94" i="16" s="1"/>
  <c r="E94" i="16"/>
  <c r="G94" i="16" s="1"/>
  <c r="I93" i="16"/>
  <c r="J93" i="16" s="1"/>
  <c r="E93" i="16"/>
  <c r="G93" i="16" s="1"/>
  <c r="I92" i="16"/>
  <c r="J92" i="16" s="1"/>
  <c r="E92" i="16"/>
  <c r="G92" i="16" s="1"/>
  <c r="I91" i="16"/>
  <c r="J91" i="16" s="1"/>
  <c r="E91" i="16"/>
  <c r="G91" i="16" s="1"/>
  <c r="I90" i="16"/>
  <c r="J90" i="16" s="1"/>
  <c r="E90" i="16"/>
  <c r="G90" i="16" s="1"/>
  <c r="I89" i="16"/>
  <c r="J89" i="16" s="1"/>
  <c r="E89" i="16"/>
  <c r="G89" i="16" s="1"/>
  <c r="J83" i="16"/>
  <c r="I83" i="16"/>
  <c r="E83" i="16"/>
  <c r="G83" i="16" s="1"/>
  <c r="I82" i="16"/>
  <c r="J82" i="16" s="1"/>
  <c r="E82" i="16"/>
  <c r="G82" i="16" s="1"/>
  <c r="J81" i="16"/>
  <c r="I81" i="16"/>
  <c r="E81" i="16"/>
  <c r="G81" i="16" s="1"/>
  <c r="I80" i="16"/>
  <c r="J80" i="16" s="1"/>
  <c r="E80" i="16"/>
  <c r="G80" i="16" s="1"/>
  <c r="J79" i="16"/>
  <c r="I79" i="16"/>
  <c r="E79" i="16"/>
  <c r="G79" i="16" s="1"/>
  <c r="I78" i="16"/>
  <c r="J78" i="16" s="1"/>
  <c r="E78" i="16"/>
  <c r="G78" i="16" s="1"/>
  <c r="J77" i="16"/>
  <c r="I77" i="16"/>
  <c r="E77" i="16"/>
  <c r="G77" i="16" s="1"/>
  <c r="I76" i="16"/>
  <c r="J76" i="16" s="1"/>
  <c r="E76" i="16"/>
  <c r="G76" i="16" s="1"/>
  <c r="J75" i="16"/>
  <c r="I75" i="16"/>
  <c r="E75" i="16"/>
  <c r="G75" i="16" s="1"/>
  <c r="I74" i="16"/>
  <c r="J74" i="16" s="1"/>
  <c r="E74" i="16"/>
  <c r="G74" i="16" s="1"/>
  <c r="J73" i="16"/>
  <c r="I73" i="16"/>
  <c r="E73" i="16"/>
  <c r="G73" i="16" s="1"/>
  <c r="I72" i="16"/>
  <c r="J72" i="16" s="1"/>
  <c r="E72" i="16"/>
  <c r="G72" i="16" s="1"/>
  <c r="J71" i="16"/>
  <c r="I71" i="16"/>
  <c r="E71" i="16"/>
  <c r="G71" i="16" s="1"/>
  <c r="I70" i="16"/>
  <c r="J70" i="16" s="1"/>
  <c r="E70" i="16"/>
  <c r="G70" i="16" s="1"/>
  <c r="J69" i="16"/>
  <c r="I69" i="16"/>
  <c r="E69" i="16"/>
  <c r="G69" i="16" s="1"/>
  <c r="I68" i="16"/>
  <c r="J68" i="16" s="1"/>
  <c r="E68" i="16"/>
  <c r="G68" i="16" s="1"/>
  <c r="J67" i="16"/>
  <c r="I67" i="16"/>
  <c r="E67" i="16"/>
  <c r="G67" i="16" s="1"/>
  <c r="I66" i="16"/>
  <c r="J66" i="16" s="1"/>
  <c r="E66" i="16"/>
  <c r="G66" i="16" s="1"/>
  <c r="J65" i="16"/>
  <c r="I65" i="16"/>
  <c r="E65" i="16"/>
  <c r="G65" i="16" s="1"/>
  <c r="I64" i="16"/>
  <c r="J64" i="16" s="1"/>
  <c r="E64" i="16"/>
  <c r="G64" i="16" s="1"/>
  <c r="J63" i="16"/>
  <c r="I63" i="16"/>
  <c r="E63" i="16"/>
  <c r="G63" i="16" s="1"/>
  <c r="I62" i="16"/>
  <c r="J62" i="16" s="1"/>
  <c r="E62" i="16"/>
  <c r="G62" i="16" s="1"/>
  <c r="J61" i="16"/>
  <c r="I61" i="16"/>
  <c r="E61" i="16"/>
  <c r="G61" i="16" s="1"/>
  <c r="I60" i="16"/>
  <c r="J60" i="16" s="1"/>
  <c r="E60" i="16"/>
  <c r="G60" i="16" s="1"/>
  <c r="J59" i="16"/>
  <c r="I59" i="16"/>
  <c r="E59" i="16"/>
  <c r="G59" i="16" s="1"/>
  <c r="I58" i="16"/>
  <c r="J58" i="16" s="1"/>
  <c r="E58" i="16"/>
  <c r="G58" i="16" s="1"/>
  <c r="J57" i="16"/>
  <c r="I57" i="16"/>
  <c r="E57" i="16"/>
  <c r="G57" i="16" s="1"/>
  <c r="I56" i="16"/>
  <c r="J56" i="16" s="1"/>
  <c r="E56" i="16"/>
  <c r="G56" i="16" s="1"/>
  <c r="J55" i="16"/>
  <c r="I55" i="16"/>
  <c r="E55" i="16"/>
  <c r="G55" i="16" s="1"/>
  <c r="I54" i="16"/>
  <c r="J54" i="16" s="1"/>
  <c r="E54" i="16"/>
  <c r="G54" i="16" s="1"/>
  <c r="J53" i="16"/>
  <c r="I53" i="16"/>
  <c r="E53" i="16"/>
  <c r="G53" i="16" s="1"/>
  <c r="I52" i="16"/>
  <c r="J52" i="16" s="1"/>
  <c r="E52" i="16"/>
  <c r="G52" i="16" s="1"/>
  <c r="J51" i="16"/>
  <c r="I51" i="16"/>
  <c r="E51" i="16"/>
  <c r="G51" i="16" s="1"/>
  <c r="I50" i="16"/>
  <c r="J50" i="16" s="1"/>
  <c r="E50" i="16"/>
  <c r="G50" i="16" s="1"/>
  <c r="J49" i="16"/>
  <c r="I49" i="16"/>
  <c r="E49" i="16"/>
  <c r="G49" i="16" s="1"/>
  <c r="I48" i="16"/>
  <c r="J48" i="16" s="1"/>
  <c r="E48" i="16"/>
  <c r="G48" i="16" s="1"/>
  <c r="J47" i="16"/>
  <c r="I47" i="16"/>
  <c r="E47" i="16"/>
  <c r="G47" i="16" s="1"/>
  <c r="I46" i="16"/>
  <c r="J46" i="16" s="1"/>
  <c r="E46" i="16"/>
  <c r="G46" i="16" s="1"/>
  <c r="J45" i="16"/>
  <c r="I45" i="16"/>
  <c r="E45" i="16"/>
  <c r="G45" i="16" s="1"/>
  <c r="I44" i="16"/>
  <c r="J44" i="16" s="1"/>
  <c r="E44" i="16"/>
  <c r="G44" i="16" s="1"/>
  <c r="J43" i="16"/>
  <c r="I43" i="16"/>
  <c r="E43" i="16"/>
  <c r="G43" i="16" s="1"/>
  <c r="I42" i="16"/>
  <c r="J42" i="16" s="1"/>
  <c r="E42" i="16"/>
  <c r="G42" i="16" s="1"/>
  <c r="J41" i="16"/>
  <c r="I41" i="16"/>
  <c r="E41" i="16"/>
  <c r="G41" i="16" s="1"/>
  <c r="I40" i="16"/>
  <c r="J40" i="16" s="1"/>
  <c r="E40" i="16"/>
  <c r="G40" i="16" s="1"/>
  <c r="J39" i="16"/>
  <c r="I39" i="16"/>
  <c r="E39" i="16"/>
  <c r="G39" i="16" s="1"/>
  <c r="I38" i="16"/>
  <c r="J38" i="16" s="1"/>
  <c r="E38" i="16"/>
  <c r="G38" i="16" s="1"/>
  <c r="J37" i="16"/>
  <c r="I37" i="16"/>
  <c r="E37" i="16"/>
  <c r="G37" i="16" s="1"/>
  <c r="I36" i="16"/>
  <c r="J36" i="16" s="1"/>
  <c r="E36" i="16"/>
  <c r="G36" i="16" s="1"/>
  <c r="J35" i="16"/>
  <c r="I35" i="16"/>
  <c r="E35" i="16"/>
  <c r="G35" i="16" s="1"/>
  <c r="I34" i="16"/>
  <c r="J34" i="16" s="1"/>
  <c r="E34" i="16"/>
  <c r="G34" i="16" s="1"/>
  <c r="J33" i="16"/>
  <c r="I33" i="16"/>
  <c r="E33" i="16"/>
  <c r="G33" i="16" s="1"/>
  <c r="I32" i="16"/>
  <c r="J32" i="16" s="1"/>
  <c r="E32" i="16"/>
  <c r="G32" i="16" s="1"/>
  <c r="J31" i="16"/>
  <c r="I31" i="16"/>
  <c r="G31" i="16"/>
  <c r="E31" i="16"/>
  <c r="J30" i="16"/>
  <c r="I30" i="16"/>
  <c r="G30" i="16"/>
  <c r="E30" i="16"/>
  <c r="J29" i="16"/>
  <c r="I29" i="16"/>
  <c r="G29" i="16"/>
  <c r="E29" i="16"/>
  <c r="J28" i="16"/>
  <c r="I28" i="16"/>
  <c r="G28" i="16"/>
  <c r="E28" i="16"/>
  <c r="J27" i="16"/>
  <c r="I27" i="16"/>
  <c r="G27" i="16"/>
  <c r="E27" i="16"/>
  <c r="J26" i="16"/>
  <c r="I26" i="16"/>
  <c r="G26" i="16"/>
  <c r="E26" i="16"/>
  <c r="J25" i="16"/>
  <c r="I25" i="16"/>
  <c r="G25" i="16"/>
  <c r="E25" i="16"/>
  <c r="J24" i="16"/>
  <c r="I24" i="16"/>
  <c r="G24" i="16"/>
  <c r="E24" i="16"/>
  <c r="J23" i="16"/>
  <c r="I23" i="16"/>
  <c r="G23" i="16"/>
  <c r="E23" i="16"/>
  <c r="J22" i="16"/>
  <c r="I22" i="16"/>
  <c r="G22" i="16"/>
  <c r="E22" i="16"/>
  <c r="J21" i="16"/>
  <c r="I21" i="16"/>
  <c r="G21" i="16"/>
  <c r="E21" i="16"/>
  <c r="J20" i="16"/>
  <c r="I20" i="16"/>
  <c r="G20" i="16"/>
  <c r="E20" i="16"/>
  <c r="J19" i="16"/>
  <c r="I19" i="16"/>
  <c r="G19" i="16"/>
  <c r="E19" i="16"/>
  <c r="J18" i="16"/>
  <c r="I18" i="16"/>
  <c r="G18" i="16"/>
  <c r="E18" i="16"/>
  <c r="J17" i="16"/>
  <c r="I17" i="16"/>
  <c r="G17" i="16"/>
  <c r="E17" i="16"/>
  <c r="J16" i="16"/>
  <c r="I16" i="16"/>
  <c r="G16" i="16"/>
  <c r="E16" i="16"/>
  <c r="J15" i="16"/>
  <c r="I15" i="16"/>
  <c r="G15" i="16"/>
  <c r="E15" i="16"/>
  <c r="J14" i="16"/>
  <c r="I14" i="16"/>
  <c r="G14" i="16"/>
  <c r="E14" i="16"/>
  <c r="J13" i="16"/>
  <c r="I13" i="16"/>
  <c r="G13" i="16"/>
  <c r="E13" i="16"/>
  <c r="J12" i="16"/>
  <c r="I12" i="16"/>
  <c r="G12" i="16"/>
  <c r="E12" i="16"/>
  <c r="J11" i="16"/>
  <c r="I11" i="16"/>
  <c r="G11" i="16"/>
  <c r="E11" i="16"/>
  <c r="J10" i="16"/>
  <c r="I10" i="16"/>
  <c r="G10" i="16"/>
  <c r="E10" i="16"/>
  <c r="J9" i="16"/>
  <c r="I9" i="16"/>
  <c r="G9" i="16"/>
  <c r="E9" i="16"/>
  <c r="J8" i="16"/>
  <c r="I8" i="16"/>
  <c r="G8" i="16"/>
  <c r="E8" i="16"/>
  <c r="J7" i="16"/>
  <c r="I7" i="16"/>
  <c r="G7" i="16"/>
  <c r="E7" i="16"/>
  <c r="J6" i="16"/>
  <c r="I6" i="16"/>
  <c r="G6" i="16"/>
  <c r="E6" i="16"/>
  <c r="J5" i="16"/>
  <c r="I5" i="16"/>
  <c r="G5" i="16"/>
  <c r="E5" i="16"/>
  <c r="J4" i="16"/>
  <c r="I4" i="16"/>
  <c r="G4" i="16"/>
  <c r="E4" i="16"/>
  <c r="J3" i="16"/>
  <c r="I3" i="16"/>
  <c r="G3" i="16"/>
  <c r="G85" i="16" s="1"/>
  <c r="E3" i="16"/>
  <c r="J107" i="15"/>
  <c r="J108" i="15"/>
  <c r="E10" i="15"/>
  <c r="E11" i="15"/>
  <c r="G11" i="15" s="1"/>
  <c r="E12" i="15"/>
  <c r="E13" i="15"/>
  <c r="G13" i="15" s="1"/>
  <c r="J120" i="15"/>
  <c r="I120" i="15"/>
  <c r="E120" i="15"/>
  <c r="G120" i="15" s="1"/>
  <c r="J119" i="15"/>
  <c r="I119" i="15"/>
  <c r="E119" i="15"/>
  <c r="G119" i="15" s="1"/>
  <c r="J118" i="15"/>
  <c r="I118" i="15"/>
  <c r="E118" i="15"/>
  <c r="G118" i="15" s="1"/>
  <c r="J117" i="15"/>
  <c r="I117" i="15"/>
  <c r="E117" i="15"/>
  <c r="G117" i="15" s="1"/>
  <c r="J116" i="15"/>
  <c r="I116" i="15"/>
  <c r="E116" i="15"/>
  <c r="G116" i="15" s="1"/>
  <c r="J115" i="15"/>
  <c r="I115" i="15"/>
  <c r="E115" i="15"/>
  <c r="G115" i="15" s="1"/>
  <c r="J114" i="15"/>
  <c r="I114" i="15"/>
  <c r="E114" i="15"/>
  <c r="G114" i="15" s="1"/>
  <c r="J113" i="15"/>
  <c r="I113" i="15"/>
  <c r="E113" i="15"/>
  <c r="G113" i="15" s="1"/>
  <c r="J112" i="15"/>
  <c r="I112" i="15"/>
  <c r="E112" i="15"/>
  <c r="G112" i="15" s="1"/>
  <c r="J111" i="15"/>
  <c r="I111" i="15"/>
  <c r="E111" i="15"/>
  <c r="G111" i="15" s="1"/>
  <c r="J110" i="15"/>
  <c r="I110" i="15"/>
  <c r="E110" i="15"/>
  <c r="G110" i="15" s="1"/>
  <c r="J109" i="15"/>
  <c r="I109" i="15"/>
  <c r="E109" i="15"/>
  <c r="G109" i="15" s="1"/>
  <c r="I108" i="15"/>
  <c r="E108" i="15"/>
  <c r="G108" i="15" s="1"/>
  <c r="I107" i="15"/>
  <c r="E107" i="15"/>
  <c r="G107" i="15" s="1"/>
  <c r="J106" i="15"/>
  <c r="I106" i="15"/>
  <c r="E106" i="15"/>
  <c r="G106" i="15" s="1"/>
  <c r="J105" i="15"/>
  <c r="I105" i="15"/>
  <c r="E105" i="15"/>
  <c r="G105" i="15" s="1"/>
  <c r="J104" i="15"/>
  <c r="I104" i="15"/>
  <c r="E104" i="15"/>
  <c r="G104" i="15" s="1"/>
  <c r="J103" i="15"/>
  <c r="I103" i="15"/>
  <c r="E103" i="15"/>
  <c r="G103" i="15" s="1"/>
  <c r="J102" i="15"/>
  <c r="I102" i="15"/>
  <c r="E102" i="15"/>
  <c r="G102" i="15" s="1"/>
  <c r="J101" i="15"/>
  <c r="I101" i="15"/>
  <c r="E101" i="15"/>
  <c r="G101" i="15" s="1"/>
  <c r="J100" i="15"/>
  <c r="I100" i="15"/>
  <c r="E100" i="15"/>
  <c r="G100" i="15" s="1"/>
  <c r="J99" i="15"/>
  <c r="I99" i="15"/>
  <c r="E99" i="15"/>
  <c r="G99" i="15" s="1"/>
  <c r="J98" i="15"/>
  <c r="I98" i="15"/>
  <c r="E98" i="15"/>
  <c r="G98" i="15" s="1"/>
  <c r="J97" i="15"/>
  <c r="I97" i="15"/>
  <c r="E97" i="15"/>
  <c r="G97" i="15" s="1"/>
  <c r="J96" i="15"/>
  <c r="I96" i="15"/>
  <c r="E96" i="15"/>
  <c r="G96" i="15" s="1"/>
  <c r="J95" i="15"/>
  <c r="I95" i="15"/>
  <c r="E95" i="15"/>
  <c r="G95" i="15" s="1"/>
  <c r="J94" i="15"/>
  <c r="I94" i="15"/>
  <c r="E94" i="15"/>
  <c r="G94" i="15" s="1"/>
  <c r="J93" i="15"/>
  <c r="I93" i="15"/>
  <c r="E93" i="15"/>
  <c r="G93" i="15" s="1"/>
  <c r="J92" i="15"/>
  <c r="I92" i="15"/>
  <c r="E92" i="15"/>
  <c r="G92" i="15" s="1"/>
  <c r="J91" i="15"/>
  <c r="I91" i="15"/>
  <c r="E91" i="15"/>
  <c r="G91" i="15" s="1"/>
  <c r="J90" i="15"/>
  <c r="I90" i="15"/>
  <c r="E90" i="15"/>
  <c r="G90" i="15" s="1"/>
  <c r="J89" i="15"/>
  <c r="I89" i="15"/>
  <c r="E89" i="15"/>
  <c r="G89" i="15" s="1"/>
  <c r="G121" i="15" s="1"/>
  <c r="I83" i="15"/>
  <c r="J83" i="15" s="1"/>
  <c r="E83" i="15"/>
  <c r="G83" i="15" s="1"/>
  <c r="I82" i="15"/>
  <c r="J82" i="15" s="1"/>
  <c r="E82" i="15"/>
  <c r="G82" i="15" s="1"/>
  <c r="I81" i="15"/>
  <c r="J81" i="15" s="1"/>
  <c r="E81" i="15"/>
  <c r="G81" i="15" s="1"/>
  <c r="I80" i="15"/>
  <c r="J80" i="15" s="1"/>
  <c r="E80" i="15"/>
  <c r="G80" i="15" s="1"/>
  <c r="I79" i="15"/>
  <c r="J79" i="15" s="1"/>
  <c r="E79" i="15"/>
  <c r="G79" i="15" s="1"/>
  <c r="I78" i="15"/>
  <c r="J78" i="15" s="1"/>
  <c r="E78" i="15"/>
  <c r="G78" i="15" s="1"/>
  <c r="I77" i="15"/>
  <c r="J77" i="15" s="1"/>
  <c r="G77" i="15"/>
  <c r="E77" i="15"/>
  <c r="I76" i="15"/>
  <c r="J76" i="15" s="1"/>
  <c r="E76" i="15"/>
  <c r="G76" i="15" s="1"/>
  <c r="I75" i="15"/>
  <c r="J75" i="15" s="1"/>
  <c r="E75" i="15"/>
  <c r="G75" i="15" s="1"/>
  <c r="I74" i="15"/>
  <c r="J74" i="15" s="1"/>
  <c r="E74" i="15"/>
  <c r="G74" i="15" s="1"/>
  <c r="I73" i="15"/>
  <c r="J73" i="15" s="1"/>
  <c r="E73" i="15"/>
  <c r="G73" i="15" s="1"/>
  <c r="I72" i="15"/>
  <c r="J72" i="15" s="1"/>
  <c r="E72" i="15"/>
  <c r="G72" i="15" s="1"/>
  <c r="I71" i="15"/>
  <c r="J71" i="15" s="1"/>
  <c r="E71" i="15"/>
  <c r="G71" i="15" s="1"/>
  <c r="I70" i="15"/>
  <c r="J70" i="15" s="1"/>
  <c r="E70" i="15"/>
  <c r="G70" i="15" s="1"/>
  <c r="I69" i="15"/>
  <c r="J69" i="15" s="1"/>
  <c r="E69" i="15"/>
  <c r="G69" i="15" s="1"/>
  <c r="I68" i="15"/>
  <c r="J68" i="15" s="1"/>
  <c r="E68" i="15"/>
  <c r="G68" i="15" s="1"/>
  <c r="I67" i="15"/>
  <c r="J67" i="15" s="1"/>
  <c r="E67" i="15"/>
  <c r="G67" i="15" s="1"/>
  <c r="I66" i="15"/>
  <c r="J66" i="15" s="1"/>
  <c r="E66" i="15"/>
  <c r="G66" i="15" s="1"/>
  <c r="I65" i="15"/>
  <c r="J65" i="15" s="1"/>
  <c r="E65" i="15"/>
  <c r="G65" i="15" s="1"/>
  <c r="I64" i="15"/>
  <c r="J64" i="15" s="1"/>
  <c r="E64" i="15"/>
  <c r="G64" i="15" s="1"/>
  <c r="I63" i="15"/>
  <c r="J63" i="15" s="1"/>
  <c r="E63" i="15"/>
  <c r="G63" i="15" s="1"/>
  <c r="I62" i="15"/>
  <c r="J62" i="15" s="1"/>
  <c r="E62" i="15"/>
  <c r="G62" i="15" s="1"/>
  <c r="I61" i="15"/>
  <c r="J61" i="15" s="1"/>
  <c r="E61" i="15"/>
  <c r="G61" i="15" s="1"/>
  <c r="I60" i="15"/>
  <c r="J60" i="15" s="1"/>
  <c r="E60" i="15"/>
  <c r="G60" i="15" s="1"/>
  <c r="I59" i="15"/>
  <c r="J59" i="15" s="1"/>
  <c r="E59" i="15"/>
  <c r="G59" i="15" s="1"/>
  <c r="I58" i="15"/>
  <c r="J58" i="15" s="1"/>
  <c r="E58" i="15"/>
  <c r="G58" i="15" s="1"/>
  <c r="I57" i="15"/>
  <c r="J57" i="15" s="1"/>
  <c r="E57" i="15"/>
  <c r="G57" i="15" s="1"/>
  <c r="I56" i="15"/>
  <c r="J56" i="15" s="1"/>
  <c r="E56" i="15"/>
  <c r="G56" i="15" s="1"/>
  <c r="I55" i="15"/>
  <c r="J55" i="15" s="1"/>
  <c r="E55" i="15"/>
  <c r="G55" i="15" s="1"/>
  <c r="I54" i="15"/>
  <c r="J54" i="15" s="1"/>
  <c r="E54" i="15"/>
  <c r="G54" i="15" s="1"/>
  <c r="I53" i="15"/>
  <c r="J53" i="15" s="1"/>
  <c r="E53" i="15"/>
  <c r="G53" i="15" s="1"/>
  <c r="I52" i="15"/>
  <c r="J52" i="15" s="1"/>
  <c r="G52" i="15"/>
  <c r="E52" i="15"/>
  <c r="I51" i="15"/>
  <c r="J51" i="15" s="1"/>
  <c r="E51" i="15"/>
  <c r="G51" i="15" s="1"/>
  <c r="I50" i="15"/>
  <c r="J50" i="15" s="1"/>
  <c r="E50" i="15"/>
  <c r="G50" i="15" s="1"/>
  <c r="I49" i="15"/>
  <c r="J49" i="15" s="1"/>
  <c r="E49" i="15"/>
  <c r="G49" i="15" s="1"/>
  <c r="I48" i="15"/>
  <c r="J48" i="15" s="1"/>
  <c r="E48" i="15"/>
  <c r="G48" i="15" s="1"/>
  <c r="I47" i="15"/>
  <c r="J47" i="15" s="1"/>
  <c r="E47" i="15"/>
  <c r="G47" i="15" s="1"/>
  <c r="I46" i="15"/>
  <c r="J46" i="15" s="1"/>
  <c r="E46" i="15"/>
  <c r="G46" i="15" s="1"/>
  <c r="I45" i="15"/>
  <c r="J45" i="15" s="1"/>
  <c r="E45" i="15"/>
  <c r="G45" i="15" s="1"/>
  <c r="I44" i="15"/>
  <c r="J44" i="15" s="1"/>
  <c r="E44" i="15"/>
  <c r="G44" i="15" s="1"/>
  <c r="I43" i="15"/>
  <c r="J43" i="15" s="1"/>
  <c r="E43" i="15"/>
  <c r="G43" i="15" s="1"/>
  <c r="I42" i="15"/>
  <c r="J42" i="15" s="1"/>
  <c r="E42" i="15"/>
  <c r="G42" i="15" s="1"/>
  <c r="I41" i="15"/>
  <c r="J41" i="15" s="1"/>
  <c r="E41" i="15"/>
  <c r="G41" i="15" s="1"/>
  <c r="I40" i="15"/>
  <c r="J40" i="15" s="1"/>
  <c r="E40" i="15"/>
  <c r="G40" i="15" s="1"/>
  <c r="I39" i="15"/>
  <c r="J39" i="15" s="1"/>
  <c r="E39" i="15"/>
  <c r="G39" i="15" s="1"/>
  <c r="I38" i="15"/>
  <c r="J38" i="15" s="1"/>
  <c r="E38" i="15"/>
  <c r="G38" i="15" s="1"/>
  <c r="I37" i="15"/>
  <c r="J37" i="15" s="1"/>
  <c r="E37" i="15"/>
  <c r="G37" i="15" s="1"/>
  <c r="I36" i="15"/>
  <c r="J36" i="15" s="1"/>
  <c r="E36" i="15"/>
  <c r="G36" i="15" s="1"/>
  <c r="I35" i="15"/>
  <c r="J35" i="15" s="1"/>
  <c r="E35" i="15"/>
  <c r="G35" i="15" s="1"/>
  <c r="I34" i="15"/>
  <c r="J34" i="15" s="1"/>
  <c r="E34" i="15"/>
  <c r="G34" i="15" s="1"/>
  <c r="I33" i="15"/>
  <c r="J33" i="15" s="1"/>
  <c r="E33" i="15"/>
  <c r="G33" i="15" s="1"/>
  <c r="I32" i="15"/>
  <c r="J32" i="15" s="1"/>
  <c r="E32" i="15"/>
  <c r="G32" i="15" s="1"/>
  <c r="I31" i="15"/>
  <c r="J31" i="15" s="1"/>
  <c r="E31" i="15"/>
  <c r="G31" i="15" s="1"/>
  <c r="I30" i="15"/>
  <c r="J30" i="15" s="1"/>
  <c r="E30" i="15"/>
  <c r="G30" i="15" s="1"/>
  <c r="I29" i="15"/>
  <c r="J29" i="15" s="1"/>
  <c r="E29" i="15"/>
  <c r="G29" i="15" s="1"/>
  <c r="I28" i="15"/>
  <c r="J28" i="15" s="1"/>
  <c r="E28" i="15"/>
  <c r="G28" i="15" s="1"/>
  <c r="I27" i="15"/>
  <c r="J27" i="15" s="1"/>
  <c r="E27" i="15"/>
  <c r="G27" i="15" s="1"/>
  <c r="I26" i="15"/>
  <c r="J26" i="15" s="1"/>
  <c r="E26" i="15"/>
  <c r="G26" i="15" s="1"/>
  <c r="I25" i="15"/>
  <c r="J25" i="15" s="1"/>
  <c r="E25" i="15"/>
  <c r="G25" i="15" s="1"/>
  <c r="I24" i="15"/>
  <c r="J24" i="15" s="1"/>
  <c r="E24" i="15"/>
  <c r="G24" i="15" s="1"/>
  <c r="I23" i="15"/>
  <c r="J23" i="15" s="1"/>
  <c r="E23" i="15"/>
  <c r="G23" i="15" s="1"/>
  <c r="I22" i="15"/>
  <c r="J22" i="15" s="1"/>
  <c r="E22" i="15"/>
  <c r="G22" i="15" s="1"/>
  <c r="I21" i="15"/>
  <c r="J21" i="15" s="1"/>
  <c r="E21" i="15"/>
  <c r="G21" i="15" s="1"/>
  <c r="I20" i="15"/>
  <c r="J20" i="15" s="1"/>
  <c r="E20" i="15"/>
  <c r="G20" i="15" s="1"/>
  <c r="I19" i="15"/>
  <c r="J19" i="15" s="1"/>
  <c r="G19" i="15"/>
  <c r="E19" i="15"/>
  <c r="I18" i="15"/>
  <c r="J18" i="15" s="1"/>
  <c r="E18" i="15"/>
  <c r="G18" i="15" s="1"/>
  <c r="I17" i="15"/>
  <c r="J17" i="15" s="1"/>
  <c r="E17" i="15"/>
  <c r="G17" i="15" s="1"/>
  <c r="I16" i="15"/>
  <c r="J16" i="15" s="1"/>
  <c r="E16" i="15"/>
  <c r="G16" i="15" s="1"/>
  <c r="I15" i="15"/>
  <c r="J15" i="15" s="1"/>
  <c r="E15" i="15"/>
  <c r="G15" i="15" s="1"/>
  <c r="I14" i="15"/>
  <c r="J14" i="15" s="1"/>
  <c r="E14" i="15"/>
  <c r="G14" i="15" s="1"/>
  <c r="I13" i="15"/>
  <c r="J13" i="15" s="1"/>
  <c r="I12" i="15"/>
  <c r="J12" i="15" s="1"/>
  <c r="G12" i="15"/>
  <c r="I11" i="15"/>
  <c r="J11" i="15" s="1"/>
  <c r="I10" i="15"/>
  <c r="J10" i="15" s="1"/>
  <c r="G10" i="15"/>
  <c r="I9" i="15"/>
  <c r="J9" i="15" s="1"/>
  <c r="E9" i="15"/>
  <c r="G9" i="15" s="1"/>
  <c r="I8" i="15"/>
  <c r="J8" i="15" s="1"/>
  <c r="E8" i="15"/>
  <c r="G8" i="15" s="1"/>
  <c r="I7" i="15"/>
  <c r="J7" i="15" s="1"/>
  <c r="E7" i="15"/>
  <c r="G7" i="15" s="1"/>
  <c r="I6" i="15"/>
  <c r="J6" i="15" s="1"/>
  <c r="E6" i="15"/>
  <c r="G6" i="15" s="1"/>
  <c r="I5" i="15"/>
  <c r="J5" i="15" s="1"/>
  <c r="E5" i="15"/>
  <c r="G5" i="15" s="1"/>
  <c r="I4" i="15"/>
  <c r="J4" i="15" s="1"/>
  <c r="E4" i="15"/>
  <c r="G4" i="15" s="1"/>
  <c r="I3" i="15"/>
  <c r="J3" i="15" s="1"/>
  <c r="E3" i="15"/>
  <c r="G3" i="15" s="1"/>
  <c r="J120" i="14"/>
  <c r="I120" i="14"/>
  <c r="E120" i="14"/>
  <c r="G120" i="14" s="1"/>
  <c r="J119" i="14"/>
  <c r="I119" i="14"/>
  <c r="E119" i="14"/>
  <c r="G119" i="14" s="1"/>
  <c r="J118" i="14"/>
  <c r="I118" i="14"/>
  <c r="E118" i="14"/>
  <c r="G118" i="14" s="1"/>
  <c r="J117" i="14"/>
  <c r="I117" i="14"/>
  <c r="E117" i="14"/>
  <c r="G117" i="14" s="1"/>
  <c r="J116" i="14"/>
  <c r="I116" i="14"/>
  <c r="E116" i="14"/>
  <c r="G116" i="14" s="1"/>
  <c r="J115" i="14"/>
  <c r="I115" i="14"/>
  <c r="E115" i="14"/>
  <c r="G115" i="14" s="1"/>
  <c r="J114" i="14"/>
  <c r="I114" i="14"/>
  <c r="E114" i="14"/>
  <c r="G114" i="14" s="1"/>
  <c r="J113" i="14"/>
  <c r="I113" i="14"/>
  <c r="E113" i="14"/>
  <c r="G113" i="14" s="1"/>
  <c r="J112" i="14"/>
  <c r="I112" i="14"/>
  <c r="E112" i="14"/>
  <c r="G112" i="14" s="1"/>
  <c r="J111" i="14"/>
  <c r="I111" i="14"/>
  <c r="E111" i="14"/>
  <c r="G111" i="14" s="1"/>
  <c r="J110" i="14"/>
  <c r="I110" i="14"/>
  <c r="E110" i="14"/>
  <c r="G110" i="14" s="1"/>
  <c r="J109" i="14"/>
  <c r="I109" i="14"/>
  <c r="E109" i="14"/>
  <c r="G109" i="14" s="1"/>
  <c r="J108" i="14"/>
  <c r="I108" i="14"/>
  <c r="E108" i="14"/>
  <c r="G108" i="14" s="1"/>
  <c r="J107" i="14"/>
  <c r="I107" i="14"/>
  <c r="E107" i="14"/>
  <c r="G107" i="14" s="1"/>
  <c r="J106" i="14"/>
  <c r="I106" i="14"/>
  <c r="E106" i="14"/>
  <c r="G106" i="14" s="1"/>
  <c r="J105" i="14"/>
  <c r="I105" i="14"/>
  <c r="E105" i="14"/>
  <c r="G105" i="14" s="1"/>
  <c r="J104" i="14"/>
  <c r="I104" i="14"/>
  <c r="E104" i="14"/>
  <c r="G104" i="14" s="1"/>
  <c r="J103" i="14"/>
  <c r="I103" i="14"/>
  <c r="E103" i="14"/>
  <c r="G103" i="14" s="1"/>
  <c r="J102" i="14"/>
  <c r="I102" i="14"/>
  <c r="E102" i="14"/>
  <c r="G102" i="14" s="1"/>
  <c r="J101" i="14"/>
  <c r="I101" i="14"/>
  <c r="E101" i="14"/>
  <c r="G101" i="14" s="1"/>
  <c r="J100" i="14"/>
  <c r="I100" i="14"/>
  <c r="E100" i="14"/>
  <c r="G100" i="14" s="1"/>
  <c r="J99" i="14"/>
  <c r="I99" i="14"/>
  <c r="E99" i="14"/>
  <c r="G99" i="14" s="1"/>
  <c r="J98" i="14"/>
  <c r="I98" i="14"/>
  <c r="E98" i="14"/>
  <c r="G98" i="14" s="1"/>
  <c r="J97" i="14"/>
  <c r="I97" i="14"/>
  <c r="E97" i="14"/>
  <c r="G97" i="14" s="1"/>
  <c r="J96" i="14"/>
  <c r="I96" i="14"/>
  <c r="E96" i="14"/>
  <c r="G96" i="14" s="1"/>
  <c r="J95" i="14"/>
  <c r="I95" i="14"/>
  <c r="E95" i="14"/>
  <c r="G95" i="14" s="1"/>
  <c r="J94" i="14"/>
  <c r="I94" i="14"/>
  <c r="E94" i="14"/>
  <c r="G94" i="14" s="1"/>
  <c r="J93" i="14"/>
  <c r="I93" i="14"/>
  <c r="E93" i="14"/>
  <c r="G93" i="14" s="1"/>
  <c r="J92" i="14"/>
  <c r="I92" i="14"/>
  <c r="E92" i="14"/>
  <c r="G92" i="14" s="1"/>
  <c r="J91" i="14"/>
  <c r="I91" i="14"/>
  <c r="E91" i="14"/>
  <c r="G91" i="14" s="1"/>
  <c r="J90" i="14"/>
  <c r="I90" i="14"/>
  <c r="E90" i="14"/>
  <c r="G90" i="14" s="1"/>
  <c r="I89" i="14"/>
  <c r="E89" i="14"/>
  <c r="G89" i="14" s="1"/>
  <c r="I83" i="14"/>
  <c r="J83" i="14" s="1"/>
  <c r="E83" i="14"/>
  <c r="G83" i="14" s="1"/>
  <c r="I82" i="14"/>
  <c r="J82" i="14" s="1"/>
  <c r="E82" i="14"/>
  <c r="G82" i="14" s="1"/>
  <c r="I81" i="14"/>
  <c r="J81" i="14" s="1"/>
  <c r="E81" i="14"/>
  <c r="G81" i="14" s="1"/>
  <c r="I80" i="14"/>
  <c r="J80" i="14" s="1"/>
  <c r="E80" i="14"/>
  <c r="G80" i="14" s="1"/>
  <c r="I79" i="14"/>
  <c r="J79" i="14" s="1"/>
  <c r="E79" i="14"/>
  <c r="G79" i="14" s="1"/>
  <c r="I78" i="14"/>
  <c r="J78" i="14" s="1"/>
  <c r="E78" i="14"/>
  <c r="G78" i="14" s="1"/>
  <c r="I77" i="14"/>
  <c r="J77" i="14" s="1"/>
  <c r="E77" i="14"/>
  <c r="G77" i="14" s="1"/>
  <c r="I76" i="14"/>
  <c r="J76" i="14" s="1"/>
  <c r="E76" i="14"/>
  <c r="G76" i="14" s="1"/>
  <c r="I75" i="14"/>
  <c r="J75" i="14" s="1"/>
  <c r="E75" i="14"/>
  <c r="G75" i="14" s="1"/>
  <c r="I74" i="14"/>
  <c r="J74" i="14" s="1"/>
  <c r="E74" i="14"/>
  <c r="G74" i="14" s="1"/>
  <c r="I73" i="14"/>
  <c r="J73" i="14" s="1"/>
  <c r="G73" i="14"/>
  <c r="E73" i="14"/>
  <c r="I72" i="14"/>
  <c r="J72" i="14" s="1"/>
  <c r="E72" i="14"/>
  <c r="G72" i="14" s="1"/>
  <c r="I71" i="14"/>
  <c r="J71" i="14" s="1"/>
  <c r="E71" i="14"/>
  <c r="G71" i="14" s="1"/>
  <c r="I70" i="14"/>
  <c r="J70" i="14" s="1"/>
  <c r="E70" i="14"/>
  <c r="G70" i="14" s="1"/>
  <c r="I69" i="14"/>
  <c r="J69" i="14" s="1"/>
  <c r="E69" i="14"/>
  <c r="G69" i="14" s="1"/>
  <c r="I68" i="14"/>
  <c r="J68" i="14" s="1"/>
  <c r="E68" i="14"/>
  <c r="G68" i="14" s="1"/>
  <c r="I67" i="14"/>
  <c r="J67" i="14" s="1"/>
  <c r="E67" i="14"/>
  <c r="G67" i="14" s="1"/>
  <c r="I66" i="14"/>
  <c r="J66" i="14" s="1"/>
  <c r="E66" i="14"/>
  <c r="G66" i="14" s="1"/>
  <c r="I65" i="14"/>
  <c r="J65" i="14" s="1"/>
  <c r="E65" i="14"/>
  <c r="G65" i="14" s="1"/>
  <c r="I64" i="14"/>
  <c r="J64" i="14" s="1"/>
  <c r="E64" i="14"/>
  <c r="G64" i="14" s="1"/>
  <c r="I63" i="14"/>
  <c r="J63" i="14" s="1"/>
  <c r="E63" i="14"/>
  <c r="G63" i="14" s="1"/>
  <c r="I62" i="14"/>
  <c r="J62" i="14" s="1"/>
  <c r="E62" i="14"/>
  <c r="G62" i="14" s="1"/>
  <c r="I61" i="14"/>
  <c r="J61" i="14" s="1"/>
  <c r="E61" i="14"/>
  <c r="G61" i="14" s="1"/>
  <c r="I60" i="14"/>
  <c r="J60" i="14" s="1"/>
  <c r="E60" i="14"/>
  <c r="G60" i="14" s="1"/>
  <c r="I59" i="14"/>
  <c r="J59" i="14" s="1"/>
  <c r="E59" i="14"/>
  <c r="G59" i="14" s="1"/>
  <c r="I58" i="14"/>
  <c r="J58" i="14" s="1"/>
  <c r="E58" i="14"/>
  <c r="G58" i="14" s="1"/>
  <c r="I57" i="14"/>
  <c r="J57" i="14" s="1"/>
  <c r="E57" i="14"/>
  <c r="G57" i="14" s="1"/>
  <c r="I56" i="14"/>
  <c r="J56" i="14" s="1"/>
  <c r="E56" i="14"/>
  <c r="G56" i="14" s="1"/>
  <c r="I55" i="14"/>
  <c r="J55" i="14" s="1"/>
  <c r="E55" i="14"/>
  <c r="G55" i="14" s="1"/>
  <c r="I54" i="14"/>
  <c r="J54" i="14" s="1"/>
  <c r="E54" i="14"/>
  <c r="G54" i="14" s="1"/>
  <c r="I53" i="14"/>
  <c r="J53" i="14" s="1"/>
  <c r="E53" i="14"/>
  <c r="G53" i="14" s="1"/>
  <c r="I52" i="14"/>
  <c r="J52" i="14" s="1"/>
  <c r="E52" i="14"/>
  <c r="G52" i="14" s="1"/>
  <c r="I51" i="14"/>
  <c r="J51" i="14" s="1"/>
  <c r="E51" i="14"/>
  <c r="G51" i="14" s="1"/>
  <c r="I50" i="14"/>
  <c r="J50" i="14" s="1"/>
  <c r="E50" i="14"/>
  <c r="G50" i="14" s="1"/>
  <c r="I49" i="14"/>
  <c r="J49" i="14" s="1"/>
  <c r="E49" i="14"/>
  <c r="G49" i="14" s="1"/>
  <c r="I48" i="14"/>
  <c r="J48" i="14" s="1"/>
  <c r="E48" i="14"/>
  <c r="G48" i="14" s="1"/>
  <c r="I47" i="14"/>
  <c r="J47" i="14" s="1"/>
  <c r="E47" i="14"/>
  <c r="G47" i="14" s="1"/>
  <c r="I46" i="14"/>
  <c r="J46" i="14" s="1"/>
  <c r="E46" i="14"/>
  <c r="G46" i="14" s="1"/>
  <c r="I45" i="14"/>
  <c r="J45" i="14" s="1"/>
  <c r="E45" i="14"/>
  <c r="G45" i="14" s="1"/>
  <c r="I44" i="14"/>
  <c r="J44" i="14" s="1"/>
  <c r="E44" i="14"/>
  <c r="G44" i="14" s="1"/>
  <c r="I43" i="14"/>
  <c r="J43" i="14" s="1"/>
  <c r="E43" i="14"/>
  <c r="G43" i="14" s="1"/>
  <c r="I42" i="14"/>
  <c r="J42" i="14" s="1"/>
  <c r="E42" i="14"/>
  <c r="G42" i="14" s="1"/>
  <c r="I41" i="14"/>
  <c r="J41" i="14" s="1"/>
  <c r="E41" i="14"/>
  <c r="G41" i="14" s="1"/>
  <c r="I40" i="14"/>
  <c r="J40" i="14" s="1"/>
  <c r="E40" i="14"/>
  <c r="G40" i="14" s="1"/>
  <c r="I39" i="14"/>
  <c r="J39" i="14" s="1"/>
  <c r="G39" i="14"/>
  <c r="E39" i="14"/>
  <c r="I38" i="14"/>
  <c r="J38" i="14" s="1"/>
  <c r="E38" i="14"/>
  <c r="G38" i="14" s="1"/>
  <c r="I37" i="14"/>
  <c r="J37" i="14" s="1"/>
  <c r="E37" i="14"/>
  <c r="G37" i="14" s="1"/>
  <c r="I36" i="14"/>
  <c r="J36" i="14" s="1"/>
  <c r="E36" i="14"/>
  <c r="G36" i="14" s="1"/>
  <c r="I35" i="14"/>
  <c r="J35" i="14" s="1"/>
  <c r="E35" i="14"/>
  <c r="G35" i="14" s="1"/>
  <c r="I34" i="14"/>
  <c r="J34" i="14" s="1"/>
  <c r="E34" i="14"/>
  <c r="G34" i="14" s="1"/>
  <c r="I33" i="14"/>
  <c r="J33" i="14" s="1"/>
  <c r="E33" i="14"/>
  <c r="G33" i="14" s="1"/>
  <c r="I32" i="14"/>
  <c r="J32" i="14" s="1"/>
  <c r="E32" i="14"/>
  <c r="G32" i="14" s="1"/>
  <c r="I31" i="14"/>
  <c r="J31" i="14" s="1"/>
  <c r="E31" i="14"/>
  <c r="G31" i="14" s="1"/>
  <c r="I30" i="14"/>
  <c r="J30" i="14" s="1"/>
  <c r="E30" i="14"/>
  <c r="G30" i="14" s="1"/>
  <c r="I29" i="14"/>
  <c r="J29" i="14" s="1"/>
  <c r="E29" i="14"/>
  <c r="G29" i="14" s="1"/>
  <c r="I28" i="14"/>
  <c r="J28" i="14" s="1"/>
  <c r="E28" i="14"/>
  <c r="G28" i="14" s="1"/>
  <c r="I27" i="14"/>
  <c r="J27" i="14" s="1"/>
  <c r="E27" i="14"/>
  <c r="G27" i="14" s="1"/>
  <c r="I26" i="14"/>
  <c r="J26" i="14" s="1"/>
  <c r="E26" i="14"/>
  <c r="G26" i="14" s="1"/>
  <c r="I25" i="14"/>
  <c r="J25" i="14" s="1"/>
  <c r="E25" i="14"/>
  <c r="G25" i="14" s="1"/>
  <c r="I24" i="14"/>
  <c r="J24" i="14" s="1"/>
  <c r="E24" i="14"/>
  <c r="G24" i="14" s="1"/>
  <c r="I23" i="14"/>
  <c r="J23" i="14" s="1"/>
  <c r="E23" i="14"/>
  <c r="G23" i="14" s="1"/>
  <c r="I22" i="14"/>
  <c r="J22" i="14" s="1"/>
  <c r="E22" i="14"/>
  <c r="G22" i="14" s="1"/>
  <c r="I21" i="14"/>
  <c r="J21" i="14" s="1"/>
  <c r="E21" i="14"/>
  <c r="G21" i="14" s="1"/>
  <c r="I20" i="14"/>
  <c r="J20" i="14" s="1"/>
  <c r="E20" i="14"/>
  <c r="G20" i="14" s="1"/>
  <c r="I19" i="14"/>
  <c r="J19" i="14" s="1"/>
  <c r="E19" i="14"/>
  <c r="G19" i="14" s="1"/>
  <c r="I18" i="14"/>
  <c r="J18" i="14" s="1"/>
  <c r="E18" i="14"/>
  <c r="G18" i="14" s="1"/>
  <c r="I17" i="14"/>
  <c r="J17" i="14" s="1"/>
  <c r="E17" i="14"/>
  <c r="G17" i="14" s="1"/>
  <c r="I16" i="14"/>
  <c r="J16" i="14" s="1"/>
  <c r="E16" i="14"/>
  <c r="G16" i="14" s="1"/>
  <c r="I15" i="14"/>
  <c r="J15" i="14" s="1"/>
  <c r="E15" i="14"/>
  <c r="G15" i="14" s="1"/>
  <c r="I14" i="14"/>
  <c r="J14" i="14" s="1"/>
  <c r="E14" i="14"/>
  <c r="G14" i="14" s="1"/>
  <c r="I13" i="14"/>
  <c r="J13" i="14" s="1"/>
  <c r="E13" i="14"/>
  <c r="G13" i="14" s="1"/>
  <c r="I12" i="14"/>
  <c r="J12" i="14" s="1"/>
  <c r="E12" i="14"/>
  <c r="G12" i="14" s="1"/>
  <c r="I11" i="14"/>
  <c r="J11" i="14" s="1"/>
  <c r="E11" i="14"/>
  <c r="G11" i="14" s="1"/>
  <c r="I10" i="14"/>
  <c r="J10" i="14" s="1"/>
  <c r="E10" i="14"/>
  <c r="G10" i="14" s="1"/>
  <c r="I9" i="14"/>
  <c r="J9" i="14" s="1"/>
  <c r="E9" i="14"/>
  <c r="G9" i="14" s="1"/>
  <c r="I8" i="14"/>
  <c r="J8" i="14" s="1"/>
  <c r="E8" i="14"/>
  <c r="G8" i="14" s="1"/>
  <c r="I7" i="14"/>
  <c r="J7" i="14" s="1"/>
  <c r="E7" i="14"/>
  <c r="G7" i="14" s="1"/>
  <c r="I6" i="14"/>
  <c r="J6" i="14" s="1"/>
  <c r="E6" i="14"/>
  <c r="G6" i="14" s="1"/>
  <c r="I5" i="14"/>
  <c r="J5" i="14" s="1"/>
  <c r="E5" i="14"/>
  <c r="G5" i="14" s="1"/>
  <c r="I4" i="14"/>
  <c r="J4" i="14" s="1"/>
  <c r="E4" i="14"/>
  <c r="G4" i="14" s="1"/>
  <c r="I3" i="14"/>
  <c r="E3" i="14"/>
  <c r="G3" i="14" s="1"/>
  <c r="I120" i="13"/>
  <c r="J120" i="13" s="1"/>
  <c r="G120" i="13"/>
  <c r="E120" i="13"/>
  <c r="I119" i="13"/>
  <c r="J119" i="13" s="1"/>
  <c r="E119" i="13"/>
  <c r="G119" i="13" s="1"/>
  <c r="I118" i="13"/>
  <c r="J118" i="13" s="1"/>
  <c r="E118" i="13"/>
  <c r="G118" i="13" s="1"/>
  <c r="I117" i="13"/>
  <c r="J117" i="13" s="1"/>
  <c r="E117" i="13"/>
  <c r="G117" i="13" s="1"/>
  <c r="I116" i="13"/>
  <c r="J116" i="13" s="1"/>
  <c r="E116" i="13"/>
  <c r="G116" i="13" s="1"/>
  <c r="I115" i="13"/>
  <c r="J115" i="13" s="1"/>
  <c r="E115" i="13"/>
  <c r="G115" i="13" s="1"/>
  <c r="I114" i="13"/>
  <c r="J114" i="13" s="1"/>
  <c r="G114" i="13"/>
  <c r="E114" i="13"/>
  <c r="I113" i="13"/>
  <c r="J113" i="13" s="1"/>
  <c r="E113" i="13"/>
  <c r="G113" i="13" s="1"/>
  <c r="I112" i="13"/>
  <c r="J112" i="13" s="1"/>
  <c r="E112" i="13"/>
  <c r="G112" i="13" s="1"/>
  <c r="I111" i="13"/>
  <c r="J111" i="13" s="1"/>
  <c r="E111" i="13"/>
  <c r="G111" i="13" s="1"/>
  <c r="I110" i="13"/>
  <c r="J110" i="13" s="1"/>
  <c r="G110" i="13"/>
  <c r="E110" i="13"/>
  <c r="I109" i="13"/>
  <c r="J109" i="13" s="1"/>
  <c r="E109" i="13"/>
  <c r="G109" i="13" s="1"/>
  <c r="I108" i="13"/>
  <c r="J108" i="13" s="1"/>
  <c r="E108" i="13"/>
  <c r="G108" i="13" s="1"/>
  <c r="I107" i="13"/>
  <c r="J107" i="13" s="1"/>
  <c r="E107" i="13"/>
  <c r="G107" i="13" s="1"/>
  <c r="I106" i="13"/>
  <c r="J106" i="13" s="1"/>
  <c r="E106" i="13"/>
  <c r="G106" i="13" s="1"/>
  <c r="I105" i="13"/>
  <c r="J105" i="13" s="1"/>
  <c r="E105" i="13"/>
  <c r="G105" i="13" s="1"/>
  <c r="I104" i="13"/>
  <c r="J104" i="13" s="1"/>
  <c r="E104" i="13"/>
  <c r="G104" i="13" s="1"/>
  <c r="I103" i="13"/>
  <c r="J103" i="13" s="1"/>
  <c r="E103" i="13"/>
  <c r="G103" i="13" s="1"/>
  <c r="I102" i="13"/>
  <c r="J102" i="13" s="1"/>
  <c r="E102" i="13"/>
  <c r="G102" i="13" s="1"/>
  <c r="I101" i="13"/>
  <c r="J101" i="13" s="1"/>
  <c r="E101" i="13"/>
  <c r="G101" i="13" s="1"/>
  <c r="I100" i="13"/>
  <c r="J100" i="13" s="1"/>
  <c r="E100" i="13"/>
  <c r="G100" i="13" s="1"/>
  <c r="I99" i="13"/>
  <c r="J99" i="13" s="1"/>
  <c r="E99" i="13"/>
  <c r="G99" i="13" s="1"/>
  <c r="I98" i="13"/>
  <c r="J98" i="13" s="1"/>
  <c r="G98" i="13"/>
  <c r="E98" i="13"/>
  <c r="I97" i="13"/>
  <c r="J97" i="13" s="1"/>
  <c r="E97" i="13"/>
  <c r="G97" i="13" s="1"/>
  <c r="I96" i="13"/>
  <c r="J96" i="13" s="1"/>
  <c r="E96" i="13"/>
  <c r="G96" i="13" s="1"/>
  <c r="I95" i="13"/>
  <c r="J95" i="13" s="1"/>
  <c r="E95" i="13"/>
  <c r="G95" i="13" s="1"/>
  <c r="I94" i="13"/>
  <c r="J94" i="13" s="1"/>
  <c r="E94" i="13"/>
  <c r="G94" i="13" s="1"/>
  <c r="I93" i="13"/>
  <c r="J93" i="13" s="1"/>
  <c r="E93" i="13"/>
  <c r="G93" i="13" s="1"/>
  <c r="I92" i="13"/>
  <c r="J92" i="13" s="1"/>
  <c r="E92" i="13"/>
  <c r="G92" i="13" s="1"/>
  <c r="I91" i="13"/>
  <c r="J91" i="13" s="1"/>
  <c r="E91" i="13"/>
  <c r="G91" i="13" s="1"/>
  <c r="I90" i="13"/>
  <c r="J90" i="13" s="1"/>
  <c r="E90" i="13"/>
  <c r="G90" i="13" s="1"/>
  <c r="I89" i="13"/>
  <c r="E89" i="13"/>
  <c r="G89" i="13" s="1"/>
  <c r="J83" i="13"/>
  <c r="I83" i="13"/>
  <c r="E83" i="13"/>
  <c r="G83" i="13" s="1"/>
  <c r="J82" i="13"/>
  <c r="I82" i="13"/>
  <c r="E82" i="13"/>
  <c r="G82" i="13" s="1"/>
  <c r="J81" i="13"/>
  <c r="I81" i="13"/>
  <c r="E81" i="13"/>
  <c r="G81" i="13" s="1"/>
  <c r="J80" i="13"/>
  <c r="I80" i="13"/>
  <c r="E80" i="13"/>
  <c r="G80" i="13" s="1"/>
  <c r="J79" i="13"/>
  <c r="I79" i="13"/>
  <c r="E79" i="13"/>
  <c r="G79" i="13" s="1"/>
  <c r="J78" i="13"/>
  <c r="I78" i="13"/>
  <c r="E78" i="13"/>
  <c r="G78" i="13" s="1"/>
  <c r="J77" i="13"/>
  <c r="I77" i="13"/>
  <c r="E77" i="13"/>
  <c r="G77" i="13" s="1"/>
  <c r="J76" i="13"/>
  <c r="I76" i="13"/>
  <c r="E76" i="13"/>
  <c r="G76" i="13" s="1"/>
  <c r="J75" i="13"/>
  <c r="I75" i="13"/>
  <c r="E75" i="13"/>
  <c r="G75" i="13" s="1"/>
  <c r="J74" i="13"/>
  <c r="I74" i="13"/>
  <c r="E74" i="13"/>
  <c r="G74" i="13" s="1"/>
  <c r="J73" i="13"/>
  <c r="I73" i="13"/>
  <c r="E73" i="13"/>
  <c r="G73" i="13" s="1"/>
  <c r="J72" i="13"/>
  <c r="I72" i="13"/>
  <c r="E72" i="13"/>
  <c r="G72" i="13" s="1"/>
  <c r="J71" i="13"/>
  <c r="I71" i="13"/>
  <c r="E71" i="13"/>
  <c r="G71" i="13" s="1"/>
  <c r="J70" i="13"/>
  <c r="I70" i="13"/>
  <c r="E70" i="13"/>
  <c r="G70" i="13" s="1"/>
  <c r="J69" i="13"/>
  <c r="I69" i="13"/>
  <c r="E69" i="13"/>
  <c r="G69" i="13" s="1"/>
  <c r="J68" i="13"/>
  <c r="I68" i="13"/>
  <c r="E68" i="13"/>
  <c r="G68" i="13" s="1"/>
  <c r="J67" i="13"/>
  <c r="I67" i="13"/>
  <c r="E67" i="13"/>
  <c r="G67" i="13" s="1"/>
  <c r="J66" i="13"/>
  <c r="I66" i="13"/>
  <c r="E66" i="13"/>
  <c r="G66" i="13" s="1"/>
  <c r="J65" i="13"/>
  <c r="I65" i="13"/>
  <c r="E65" i="13"/>
  <c r="G65" i="13" s="1"/>
  <c r="J64" i="13"/>
  <c r="I64" i="13"/>
  <c r="E64" i="13"/>
  <c r="G64" i="13" s="1"/>
  <c r="J63" i="13"/>
  <c r="I63" i="13"/>
  <c r="E63" i="13"/>
  <c r="G63" i="13" s="1"/>
  <c r="J62" i="13"/>
  <c r="I62" i="13"/>
  <c r="E62" i="13"/>
  <c r="G62" i="13" s="1"/>
  <c r="J61" i="13"/>
  <c r="I61" i="13"/>
  <c r="E61" i="13"/>
  <c r="G61" i="13" s="1"/>
  <c r="J60" i="13"/>
  <c r="I60" i="13"/>
  <c r="E60" i="13"/>
  <c r="G60" i="13" s="1"/>
  <c r="J59" i="13"/>
  <c r="I59" i="13"/>
  <c r="E59" i="13"/>
  <c r="G59" i="13" s="1"/>
  <c r="J58" i="13"/>
  <c r="I58" i="13"/>
  <c r="E58" i="13"/>
  <c r="G58" i="13" s="1"/>
  <c r="J57" i="13"/>
  <c r="I57" i="13"/>
  <c r="E57" i="13"/>
  <c r="G57" i="13" s="1"/>
  <c r="J56" i="13"/>
  <c r="I56" i="13"/>
  <c r="E56" i="13"/>
  <c r="G56" i="13" s="1"/>
  <c r="J55" i="13"/>
  <c r="I55" i="13"/>
  <c r="E55" i="13"/>
  <c r="G55" i="13" s="1"/>
  <c r="J54" i="13"/>
  <c r="I54" i="13"/>
  <c r="E54" i="13"/>
  <c r="G54" i="13" s="1"/>
  <c r="J53" i="13"/>
  <c r="I53" i="13"/>
  <c r="E53" i="13"/>
  <c r="G53" i="13" s="1"/>
  <c r="J52" i="13"/>
  <c r="I52" i="13"/>
  <c r="E52" i="13"/>
  <c r="G52" i="13" s="1"/>
  <c r="J51" i="13"/>
  <c r="I51" i="13"/>
  <c r="E51" i="13"/>
  <c r="G51" i="13" s="1"/>
  <c r="J50" i="13"/>
  <c r="I50" i="13"/>
  <c r="E50" i="13"/>
  <c r="G50" i="13" s="1"/>
  <c r="J49" i="13"/>
  <c r="I49" i="13"/>
  <c r="E49" i="13"/>
  <c r="G49" i="13" s="1"/>
  <c r="J48" i="13"/>
  <c r="I48" i="13"/>
  <c r="E48" i="13"/>
  <c r="G48" i="13" s="1"/>
  <c r="J47" i="13"/>
  <c r="I47" i="13"/>
  <c r="E47" i="13"/>
  <c r="G47" i="13" s="1"/>
  <c r="J46" i="13"/>
  <c r="I46" i="13"/>
  <c r="E46" i="13"/>
  <c r="G46" i="13" s="1"/>
  <c r="J45" i="13"/>
  <c r="I45" i="13"/>
  <c r="E45" i="13"/>
  <c r="G45" i="13" s="1"/>
  <c r="J44" i="13"/>
  <c r="I44" i="13"/>
  <c r="E44" i="13"/>
  <c r="G44" i="13" s="1"/>
  <c r="J43" i="13"/>
  <c r="I43" i="13"/>
  <c r="E43" i="13"/>
  <c r="G43" i="13" s="1"/>
  <c r="J42" i="13"/>
  <c r="I42" i="13"/>
  <c r="E42" i="13"/>
  <c r="G42" i="13" s="1"/>
  <c r="J41" i="13"/>
  <c r="I41" i="13"/>
  <c r="E41" i="13"/>
  <c r="G41" i="13" s="1"/>
  <c r="J40" i="13"/>
  <c r="I40" i="13"/>
  <c r="E40" i="13"/>
  <c r="G40" i="13" s="1"/>
  <c r="J39" i="13"/>
  <c r="I39" i="13"/>
  <c r="E39" i="13"/>
  <c r="G39" i="13" s="1"/>
  <c r="J38" i="13"/>
  <c r="I38" i="13"/>
  <c r="E38" i="13"/>
  <c r="G38" i="13" s="1"/>
  <c r="J37" i="13"/>
  <c r="I37" i="13"/>
  <c r="E37" i="13"/>
  <c r="G37" i="13" s="1"/>
  <c r="J36" i="13"/>
  <c r="I36" i="13"/>
  <c r="E36" i="13"/>
  <c r="G36" i="13" s="1"/>
  <c r="J35" i="13"/>
  <c r="I35" i="13"/>
  <c r="E35" i="13"/>
  <c r="G35" i="13" s="1"/>
  <c r="J34" i="13"/>
  <c r="I34" i="13"/>
  <c r="E34" i="13"/>
  <c r="G34" i="13" s="1"/>
  <c r="J33" i="13"/>
  <c r="I33" i="13"/>
  <c r="E33" i="13"/>
  <c r="G33" i="13" s="1"/>
  <c r="J32" i="13"/>
  <c r="I32" i="13"/>
  <c r="G32" i="13"/>
  <c r="E32" i="13"/>
  <c r="J31" i="13"/>
  <c r="I31" i="13"/>
  <c r="G31" i="13"/>
  <c r="E31" i="13"/>
  <c r="J30" i="13"/>
  <c r="I30" i="13"/>
  <c r="G30" i="13"/>
  <c r="E30" i="13"/>
  <c r="J29" i="13"/>
  <c r="I29" i="13"/>
  <c r="G29" i="13"/>
  <c r="E29" i="13"/>
  <c r="J28" i="13"/>
  <c r="I28" i="13"/>
  <c r="G28" i="13"/>
  <c r="E28" i="13"/>
  <c r="J27" i="13"/>
  <c r="I27" i="13"/>
  <c r="G27" i="13"/>
  <c r="E27" i="13"/>
  <c r="J26" i="13"/>
  <c r="I26" i="13"/>
  <c r="E26" i="13"/>
  <c r="G26" i="13" s="1"/>
  <c r="J25" i="13"/>
  <c r="I25" i="13"/>
  <c r="G25" i="13"/>
  <c r="E25" i="13"/>
  <c r="J24" i="13"/>
  <c r="I24" i="13"/>
  <c r="G24" i="13"/>
  <c r="E24" i="13"/>
  <c r="J23" i="13"/>
  <c r="I23" i="13"/>
  <c r="E23" i="13"/>
  <c r="G23" i="13" s="1"/>
  <c r="J22" i="13"/>
  <c r="I22" i="13"/>
  <c r="G22" i="13"/>
  <c r="E22" i="13"/>
  <c r="J21" i="13"/>
  <c r="I21" i="13"/>
  <c r="G21" i="13"/>
  <c r="E21" i="13"/>
  <c r="J20" i="13"/>
  <c r="I20" i="13"/>
  <c r="E20" i="13"/>
  <c r="G20" i="13" s="1"/>
  <c r="J19" i="13"/>
  <c r="I19" i="13"/>
  <c r="G19" i="13"/>
  <c r="E19" i="13"/>
  <c r="J18" i="13"/>
  <c r="I18" i="13"/>
  <c r="G18" i="13"/>
  <c r="E18" i="13"/>
  <c r="J17" i="13"/>
  <c r="I17" i="13"/>
  <c r="G17" i="13"/>
  <c r="E17" i="13"/>
  <c r="J16" i="13"/>
  <c r="I16" i="13"/>
  <c r="G16" i="13"/>
  <c r="E16" i="13"/>
  <c r="J15" i="13"/>
  <c r="I15" i="13"/>
  <c r="G15" i="13"/>
  <c r="E15" i="13"/>
  <c r="J14" i="13"/>
  <c r="I14" i="13"/>
  <c r="G14" i="13"/>
  <c r="E14" i="13"/>
  <c r="J13" i="13"/>
  <c r="I13" i="13"/>
  <c r="G13" i="13"/>
  <c r="E13" i="13"/>
  <c r="J12" i="13"/>
  <c r="I12" i="13"/>
  <c r="G12" i="13"/>
  <c r="E12" i="13"/>
  <c r="J11" i="13"/>
  <c r="I11" i="13"/>
  <c r="G11" i="13"/>
  <c r="E11" i="13"/>
  <c r="J10" i="13"/>
  <c r="I10" i="13"/>
  <c r="G10" i="13"/>
  <c r="E10" i="13"/>
  <c r="J9" i="13"/>
  <c r="I9" i="13"/>
  <c r="E9" i="13"/>
  <c r="G9" i="13" s="1"/>
  <c r="J8" i="13"/>
  <c r="I8" i="13"/>
  <c r="E8" i="13"/>
  <c r="G8" i="13" s="1"/>
  <c r="J7" i="13"/>
  <c r="I7" i="13"/>
  <c r="E7" i="13"/>
  <c r="G7" i="13" s="1"/>
  <c r="J6" i="13"/>
  <c r="I6" i="13"/>
  <c r="E6" i="13"/>
  <c r="G6" i="13" s="1"/>
  <c r="J5" i="13"/>
  <c r="I5" i="13"/>
  <c r="G5" i="13"/>
  <c r="E5" i="13"/>
  <c r="J4" i="13"/>
  <c r="I4" i="13"/>
  <c r="E4" i="13"/>
  <c r="G4" i="13" s="1"/>
  <c r="I3" i="13"/>
  <c r="G3" i="13"/>
  <c r="E3" i="13"/>
  <c r="J120" i="12"/>
  <c r="I120" i="12"/>
  <c r="E120" i="12"/>
  <c r="G120" i="12" s="1"/>
  <c r="J119" i="12"/>
  <c r="I119" i="12"/>
  <c r="E119" i="12"/>
  <c r="G119" i="12" s="1"/>
  <c r="J118" i="12"/>
  <c r="I118" i="12"/>
  <c r="E118" i="12"/>
  <c r="G118" i="12" s="1"/>
  <c r="J117" i="12"/>
  <c r="I117" i="12"/>
  <c r="E117" i="12"/>
  <c r="G117" i="12" s="1"/>
  <c r="J116" i="12"/>
  <c r="I116" i="12"/>
  <c r="E116" i="12"/>
  <c r="G116" i="12" s="1"/>
  <c r="J115" i="12"/>
  <c r="I115" i="12"/>
  <c r="E115" i="12"/>
  <c r="G115" i="12" s="1"/>
  <c r="J114" i="12"/>
  <c r="I114" i="12"/>
  <c r="E114" i="12"/>
  <c r="G114" i="12" s="1"/>
  <c r="J113" i="12"/>
  <c r="I113" i="12"/>
  <c r="E113" i="12"/>
  <c r="G113" i="12" s="1"/>
  <c r="J112" i="12"/>
  <c r="I112" i="12"/>
  <c r="E112" i="12"/>
  <c r="G112" i="12" s="1"/>
  <c r="J111" i="12"/>
  <c r="I111" i="12"/>
  <c r="E111" i="12"/>
  <c r="G111" i="12" s="1"/>
  <c r="J110" i="12"/>
  <c r="I110" i="12"/>
  <c r="E110" i="12"/>
  <c r="G110" i="12" s="1"/>
  <c r="J109" i="12"/>
  <c r="I109" i="12"/>
  <c r="E109" i="12"/>
  <c r="G109" i="12" s="1"/>
  <c r="J108" i="12"/>
  <c r="I108" i="12"/>
  <c r="E108" i="12"/>
  <c r="G108" i="12" s="1"/>
  <c r="J107" i="12"/>
  <c r="I107" i="12"/>
  <c r="E107" i="12"/>
  <c r="G107" i="12" s="1"/>
  <c r="J106" i="12"/>
  <c r="I106" i="12"/>
  <c r="E106" i="12"/>
  <c r="G106" i="12" s="1"/>
  <c r="J105" i="12"/>
  <c r="I105" i="12"/>
  <c r="E105" i="12"/>
  <c r="G105" i="12" s="1"/>
  <c r="J104" i="12"/>
  <c r="I104" i="12"/>
  <c r="E104" i="12"/>
  <c r="G104" i="12" s="1"/>
  <c r="J103" i="12"/>
  <c r="I103" i="12"/>
  <c r="E103" i="12"/>
  <c r="G103" i="12" s="1"/>
  <c r="J102" i="12"/>
  <c r="I102" i="12"/>
  <c r="E102" i="12"/>
  <c r="G102" i="12" s="1"/>
  <c r="J101" i="12"/>
  <c r="I101" i="12"/>
  <c r="E101" i="12"/>
  <c r="G101" i="12" s="1"/>
  <c r="J100" i="12"/>
  <c r="I100" i="12"/>
  <c r="E100" i="12"/>
  <c r="G100" i="12" s="1"/>
  <c r="J99" i="12"/>
  <c r="I99" i="12"/>
  <c r="E99" i="12"/>
  <c r="G99" i="12" s="1"/>
  <c r="J98" i="12"/>
  <c r="I98" i="12"/>
  <c r="E98" i="12"/>
  <c r="G98" i="12" s="1"/>
  <c r="J97" i="12"/>
  <c r="I97" i="12"/>
  <c r="E97" i="12"/>
  <c r="G97" i="12" s="1"/>
  <c r="J96" i="12"/>
  <c r="I96" i="12"/>
  <c r="E96" i="12"/>
  <c r="G96" i="12" s="1"/>
  <c r="J95" i="12"/>
  <c r="I95" i="12"/>
  <c r="E95" i="12"/>
  <c r="G95" i="12" s="1"/>
  <c r="J94" i="12"/>
  <c r="I94" i="12"/>
  <c r="E94" i="12"/>
  <c r="G94" i="12" s="1"/>
  <c r="J93" i="12"/>
  <c r="I93" i="12"/>
  <c r="E93" i="12"/>
  <c r="G93" i="12" s="1"/>
  <c r="J92" i="12"/>
  <c r="I92" i="12"/>
  <c r="E92" i="12"/>
  <c r="G92" i="12" s="1"/>
  <c r="J91" i="12"/>
  <c r="I91" i="12"/>
  <c r="E91" i="12"/>
  <c r="G91" i="12" s="1"/>
  <c r="J90" i="12"/>
  <c r="I90" i="12"/>
  <c r="E90" i="12"/>
  <c r="G90" i="12" s="1"/>
  <c r="I89" i="12"/>
  <c r="E89" i="12"/>
  <c r="G89" i="12" s="1"/>
  <c r="I83" i="12"/>
  <c r="J83" i="12" s="1"/>
  <c r="E83" i="12"/>
  <c r="G83" i="12" s="1"/>
  <c r="I82" i="12"/>
  <c r="J82" i="12" s="1"/>
  <c r="E82" i="12"/>
  <c r="G82" i="12" s="1"/>
  <c r="I81" i="12"/>
  <c r="J81" i="12" s="1"/>
  <c r="E81" i="12"/>
  <c r="G81" i="12" s="1"/>
  <c r="I80" i="12"/>
  <c r="J80" i="12" s="1"/>
  <c r="E80" i="12"/>
  <c r="G80" i="12" s="1"/>
  <c r="I79" i="12"/>
  <c r="J79" i="12" s="1"/>
  <c r="E79" i="12"/>
  <c r="G79" i="12" s="1"/>
  <c r="I78" i="12"/>
  <c r="J78" i="12" s="1"/>
  <c r="E78" i="12"/>
  <c r="G78" i="12" s="1"/>
  <c r="I77" i="12"/>
  <c r="J77" i="12" s="1"/>
  <c r="E77" i="12"/>
  <c r="G77" i="12" s="1"/>
  <c r="I76" i="12"/>
  <c r="J76" i="12" s="1"/>
  <c r="E76" i="12"/>
  <c r="G76" i="12" s="1"/>
  <c r="I75" i="12"/>
  <c r="J75" i="12" s="1"/>
  <c r="E75" i="12"/>
  <c r="G75" i="12" s="1"/>
  <c r="I74" i="12"/>
  <c r="J74" i="12" s="1"/>
  <c r="E74" i="12"/>
  <c r="G74" i="12" s="1"/>
  <c r="I73" i="12"/>
  <c r="J73" i="12" s="1"/>
  <c r="E73" i="12"/>
  <c r="G73" i="12" s="1"/>
  <c r="I72" i="12"/>
  <c r="J72" i="12" s="1"/>
  <c r="E72" i="12"/>
  <c r="G72" i="12" s="1"/>
  <c r="I71" i="12"/>
  <c r="J71" i="12" s="1"/>
  <c r="E71" i="12"/>
  <c r="G71" i="12" s="1"/>
  <c r="I70" i="12"/>
  <c r="J70" i="12" s="1"/>
  <c r="E70" i="12"/>
  <c r="G70" i="12" s="1"/>
  <c r="I69" i="12"/>
  <c r="J69" i="12" s="1"/>
  <c r="E69" i="12"/>
  <c r="G69" i="12" s="1"/>
  <c r="I68" i="12"/>
  <c r="J68" i="12" s="1"/>
  <c r="E68" i="12"/>
  <c r="G68" i="12" s="1"/>
  <c r="I67" i="12"/>
  <c r="J67" i="12" s="1"/>
  <c r="E67" i="12"/>
  <c r="G67" i="12" s="1"/>
  <c r="I66" i="12"/>
  <c r="J66" i="12" s="1"/>
  <c r="E66" i="12"/>
  <c r="G66" i="12" s="1"/>
  <c r="I65" i="12"/>
  <c r="J65" i="12" s="1"/>
  <c r="E65" i="12"/>
  <c r="G65" i="12" s="1"/>
  <c r="I64" i="12"/>
  <c r="J64" i="12" s="1"/>
  <c r="E64" i="12"/>
  <c r="G64" i="12" s="1"/>
  <c r="I63" i="12"/>
  <c r="J63" i="12" s="1"/>
  <c r="E63" i="12"/>
  <c r="G63" i="12" s="1"/>
  <c r="I62" i="12"/>
  <c r="J62" i="12" s="1"/>
  <c r="E62" i="12"/>
  <c r="G62" i="12" s="1"/>
  <c r="I61" i="12"/>
  <c r="J61" i="12" s="1"/>
  <c r="E61" i="12"/>
  <c r="G61" i="12" s="1"/>
  <c r="I60" i="12"/>
  <c r="J60" i="12" s="1"/>
  <c r="E60" i="12"/>
  <c r="G60" i="12" s="1"/>
  <c r="I59" i="12"/>
  <c r="J59" i="12" s="1"/>
  <c r="E59" i="12"/>
  <c r="G59" i="12" s="1"/>
  <c r="I58" i="12"/>
  <c r="J58" i="12" s="1"/>
  <c r="E58" i="12"/>
  <c r="G58" i="12" s="1"/>
  <c r="I57" i="12"/>
  <c r="J57" i="12" s="1"/>
  <c r="E57" i="12"/>
  <c r="G57" i="12" s="1"/>
  <c r="I56" i="12"/>
  <c r="J56" i="12" s="1"/>
  <c r="E56" i="12"/>
  <c r="G56" i="12" s="1"/>
  <c r="I55" i="12"/>
  <c r="J55" i="12" s="1"/>
  <c r="E55" i="12"/>
  <c r="G55" i="12" s="1"/>
  <c r="I54" i="12"/>
  <c r="J54" i="12" s="1"/>
  <c r="E54" i="12"/>
  <c r="G54" i="12" s="1"/>
  <c r="I53" i="12"/>
  <c r="J53" i="12" s="1"/>
  <c r="E53" i="12"/>
  <c r="G53" i="12" s="1"/>
  <c r="I52" i="12"/>
  <c r="J52" i="12" s="1"/>
  <c r="E52" i="12"/>
  <c r="G52" i="12" s="1"/>
  <c r="I51" i="12"/>
  <c r="J51" i="12" s="1"/>
  <c r="E51" i="12"/>
  <c r="G51" i="12" s="1"/>
  <c r="I50" i="12"/>
  <c r="J50" i="12" s="1"/>
  <c r="E50" i="12"/>
  <c r="G50" i="12" s="1"/>
  <c r="I49" i="12"/>
  <c r="J49" i="12" s="1"/>
  <c r="E49" i="12"/>
  <c r="G49" i="12" s="1"/>
  <c r="I48" i="12"/>
  <c r="J48" i="12" s="1"/>
  <c r="E48" i="12"/>
  <c r="G48" i="12" s="1"/>
  <c r="I47" i="12"/>
  <c r="J47" i="12" s="1"/>
  <c r="E47" i="12"/>
  <c r="G47" i="12" s="1"/>
  <c r="I46" i="12"/>
  <c r="J46" i="12" s="1"/>
  <c r="E46" i="12"/>
  <c r="G46" i="12" s="1"/>
  <c r="I45" i="12"/>
  <c r="J45" i="12" s="1"/>
  <c r="E45" i="12"/>
  <c r="G45" i="12" s="1"/>
  <c r="I44" i="12"/>
  <c r="J44" i="12" s="1"/>
  <c r="E44" i="12"/>
  <c r="G44" i="12" s="1"/>
  <c r="I43" i="12"/>
  <c r="J43" i="12" s="1"/>
  <c r="E43" i="12"/>
  <c r="G43" i="12" s="1"/>
  <c r="I42" i="12"/>
  <c r="J42" i="12" s="1"/>
  <c r="E42" i="12"/>
  <c r="G42" i="12" s="1"/>
  <c r="I41" i="12"/>
  <c r="J41" i="12" s="1"/>
  <c r="E41" i="12"/>
  <c r="G41" i="12" s="1"/>
  <c r="I40" i="12"/>
  <c r="J40" i="12" s="1"/>
  <c r="E40" i="12"/>
  <c r="G40" i="12" s="1"/>
  <c r="I39" i="12"/>
  <c r="J39" i="12" s="1"/>
  <c r="E39" i="12"/>
  <c r="G39" i="12" s="1"/>
  <c r="I38" i="12"/>
  <c r="J38" i="12" s="1"/>
  <c r="E38" i="12"/>
  <c r="G38" i="12" s="1"/>
  <c r="I37" i="12"/>
  <c r="J37" i="12" s="1"/>
  <c r="E37" i="12"/>
  <c r="G37" i="12" s="1"/>
  <c r="I36" i="12"/>
  <c r="J36" i="12" s="1"/>
  <c r="E36" i="12"/>
  <c r="G36" i="12" s="1"/>
  <c r="I35" i="12"/>
  <c r="J35" i="12" s="1"/>
  <c r="E35" i="12"/>
  <c r="G35" i="12" s="1"/>
  <c r="I34" i="12"/>
  <c r="J34" i="12" s="1"/>
  <c r="E34" i="12"/>
  <c r="G34" i="12" s="1"/>
  <c r="I33" i="12"/>
  <c r="J33" i="12" s="1"/>
  <c r="E33" i="12"/>
  <c r="G33" i="12" s="1"/>
  <c r="I32" i="12"/>
  <c r="J32" i="12" s="1"/>
  <c r="E32" i="12"/>
  <c r="G32" i="12" s="1"/>
  <c r="J31" i="12"/>
  <c r="I31" i="12"/>
  <c r="E31" i="12"/>
  <c r="G31" i="12" s="1"/>
  <c r="J30" i="12"/>
  <c r="I30" i="12"/>
  <c r="E30" i="12"/>
  <c r="G30" i="12" s="1"/>
  <c r="J29" i="12"/>
  <c r="I29" i="12"/>
  <c r="E29" i="12"/>
  <c r="G29" i="12" s="1"/>
  <c r="J28" i="12"/>
  <c r="I28" i="12"/>
  <c r="E28" i="12"/>
  <c r="G28" i="12" s="1"/>
  <c r="J27" i="12"/>
  <c r="I27" i="12"/>
  <c r="E27" i="12"/>
  <c r="G27" i="12" s="1"/>
  <c r="J26" i="12"/>
  <c r="I26" i="12"/>
  <c r="E26" i="12"/>
  <c r="G26" i="12" s="1"/>
  <c r="J25" i="12"/>
  <c r="I25" i="12"/>
  <c r="E25" i="12"/>
  <c r="G25" i="12" s="1"/>
  <c r="J24" i="12"/>
  <c r="I24" i="12"/>
  <c r="E24" i="12"/>
  <c r="G24" i="12" s="1"/>
  <c r="J23" i="12"/>
  <c r="I23" i="12"/>
  <c r="E23" i="12"/>
  <c r="G23" i="12" s="1"/>
  <c r="J22" i="12"/>
  <c r="I22" i="12"/>
  <c r="E22" i="12"/>
  <c r="G22" i="12" s="1"/>
  <c r="J21" i="12"/>
  <c r="I21" i="12"/>
  <c r="E21" i="12"/>
  <c r="G21" i="12" s="1"/>
  <c r="J20" i="12"/>
  <c r="I20" i="12"/>
  <c r="E20" i="12"/>
  <c r="G20" i="12" s="1"/>
  <c r="J19" i="12"/>
  <c r="I19" i="12"/>
  <c r="E19" i="12"/>
  <c r="G19" i="12" s="1"/>
  <c r="J18" i="12"/>
  <c r="I18" i="12"/>
  <c r="E18" i="12"/>
  <c r="G18" i="12" s="1"/>
  <c r="J17" i="12"/>
  <c r="I17" i="12"/>
  <c r="E17" i="12"/>
  <c r="G17" i="12" s="1"/>
  <c r="J16" i="12"/>
  <c r="I16" i="12"/>
  <c r="E16" i="12"/>
  <c r="G16" i="12" s="1"/>
  <c r="J15" i="12"/>
  <c r="I15" i="12"/>
  <c r="E15" i="12"/>
  <c r="G15" i="12" s="1"/>
  <c r="J14" i="12"/>
  <c r="I14" i="12"/>
  <c r="E14" i="12"/>
  <c r="G14" i="12" s="1"/>
  <c r="J13" i="12"/>
  <c r="I13" i="12"/>
  <c r="E13" i="12"/>
  <c r="G13" i="12" s="1"/>
  <c r="J12" i="12"/>
  <c r="I12" i="12"/>
  <c r="E12" i="12"/>
  <c r="G12" i="12" s="1"/>
  <c r="J11" i="12"/>
  <c r="I11" i="12"/>
  <c r="E11" i="12"/>
  <c r="G11" i="12" s="1"/>
  <c r="J10" i="12"/>
  <c r="I10" i="12"/>
  <c r="E10" i="12"/>
  <c r="G10" i="12" s="1"/>
  <c r="J9" i="12"/>
  <c r="I9" i="12"/>
  <c r="E9" i="12"/>
  <c r="G9" i="12" s="1"/>
  <c r="J8" i="12"/>
  <c r="I8" i="12"/>
  <c r="E8" i="12"/>
  <c r="G8" i="12" s="1"/>
  <c r="J7" i="12"/>
  <c r="I7" i="12"/>
  <c r="E7" i="12"/>
  <c r="G7" i="12" s="1"/>
  <c r="J6" i="12"/>
  <c r="I6" i="12"/>
  <c r="E6" i="12"/>
  <c r="G6" i="12" s="1"/>
  <c r="J5" i="12"/>
  <c r="I5" i="12"/>
  <c r="E5" i="12"/>
  <c r="G5" i="12" s="1"/>
  <c r="J4" i="12"/>
  <c r="I4" i="12"/>
  <c r="E4" i="12"/>
  <c r="G4" i="12" s="1"/>
  <c r="I3" i="12"/>
  <c r="E3" i="12"/>
  <c r="G3" i="12" s="1"/>
  <c r="J120" i="11"/>
  <c r="I120" i="11"/>
  <c r="E120" i="11"/>
  <c r="G120" i="11" s="1"/>
  <c r="J119" i="11"/>
  <c r="I119" i="11"/>
  <c r="E119" i="11"/>
  <c r="G119" i="11" s="1"/>
  <c r="J118" i="11"/>
  <c r="I118" i="11"/>
  <c r="E118" i="11"/>
  <c r="G118" i="11" s="1"/>
  <c r="J117" i="11"/>
  <c r="I117" i="11"/>
  <c r="E117" i="11"/>
  <c r="G117" i="11" s="1"/>
  <c r="J116" i="11"/>
  <c r="I116" i="11"/>
  <c r="E116" i="11"/>
  <c r="G116" i="11" s="1"/>
  <c r="J115" i="11"/>
  <c r="I115" i="11"/>
  <c r="E115" i="11"/>
  <c r="G115" i="11" s="1"/>
  <c r="J114" i="11"/>
  <c r="I114" i="11"/>
  <c r="E114" i="11"/>
  <c r="G114" i="11" s="1"/>
  <c r="J113" i="11"/>
  <c r="I113" i="11"/>
  <c r="E113" i="11"/>
  <c r="G113" i="11" s="1"/>
  <c r="J112" i="11"/>
  <c r="I112" i="11"/>
  <c r="E112" i="11"/>
  <c r="G112" i="11" s="1"/>
  <c r="J111" i="11"/>
  <c r="I111" i="11"/>
  <c r="E111" i="11"/>
  <c r="G111" i="11" s="1"/>
  <c r="J110" i="11"/>
  <c r="I110" i="11"/>
  <c r="E110" i="11"/>
  <c r="G110" i="11" s="1"/>
  <c r="J109" i="11"/>
  <c r="I109" i="11"/>
  <c r="E109" i="11"/>
  <c r="G109" i="11" s="1"/>
  <c r="J108" i="11"/>
  <c r="I108" i="11"/>
  <c r="E108" i="11"/>
  <c r="G108" i="11" s="1"/>
  <c r="J107" i="11"/>
  <c r="I107" i="11"/>
  <c r="E107" i="11"/>
  <c r="G107" i="11" s="1"/>
  <c r="J106" i="11"/>
  <c r="I106" i="11"/>
  <c r="E106" i="11"/>
  <c r="G106" i="11" s="1"/>
  <c r="J105" i="11"/>
  <c r="I105" i="11"/>
  <c r="E105" i="11"/>
  <c r="G105" i="11" s="1"/>
  <c r="J104" i="11"/>
  <c r="I104" i="11"/>
  <c r="E104" i="11"/>
  <c r="G104" i="11" s="1"/>
  <c r="J103" i="11"/>
  <c r="I103" i="11"/>
  <c r="E103" i="11"/>
  <c r="G103" i="11" s="1"/>
  <c r="J102" i="11"/>
  <c r="I102" i="11"/>
  <c r="E102" i="11"/>
  <c r="G102" i="11" s="1"/>
  <c r="J101" i="11"/>
  <c r="I101" i="11"/>
  <c r="E101" i="11"/>
  <c r="G101" i="11" s="1"/>
  <c r="J100" i="11"/>
  <c r="I100" i="11"/>
  <c r="E100" i="11"/>
  <c r="G100" i="11" s="1"/>
  <c r="J99" i="11"/>
  <c r="I99" i="11"/>
  <c r="E99" i="11"/>
  <c r="G99" i="11" s="1"/>
  <c r="J98" i="11"/>
  <c r="I98" i="11"/>
  <c r="E98" i="11"/>
  <c r="G98" i="11" s="1"/>
  <c r="J97" i="11"/>
  <c r="I97" i="11"/>
  <c r="E97" i="11"/>
  <c r="G97" i="11" s="1"/>
  <c r="J96" i="11"/>
  <c r="I96" i="11"/>
  <c r="E96" i="11"/>
  <c r="G96" i="11" s="1"/>
  <c r="J95" i="11"/>
  <c r="I95" i="11"/>
  <c r="E95" i="11"/>
  <c r="G95" i="11" s="1"/>
  <c r="J94" i="11"/>
  <c r="I94" i="11"/>
  <c r="E94" i="11"/>
  <c r="G94" i="11" s="1"/>
  <c r="J93" i="11"/>
  <c r="I93" i="11"/>
  <c r="E93" i="11"/>
  <c r="G93" i="11" s="1"/>
  <c r="J92" i="11"/>
  <c r="I92" i="11"/>
  <c r="E92" i="11"/>
  <c r="G92" i="11" s="1"/>
  <c r="J91" i="11"/>
  <c r="I91" i="11"/>
  <c r="E91" i="11"/>
  <c r="G91" i="11" s="1"/>
  <c r="J90" i="11"/>
  <c r="I90" i="11"/>
  <c r="E90" i="11"/>
  <c r="G90" i="11" s="1"/>
  <c r="I89" i="11"/>
  <c r="E89" i="11"/>
  <c r="G89" i="11" s="1"/>
  <c r="G121" i="11" s="1"/>
  <c r="I83" i="11"/>
  <c r="J83" i="11" s="1"/>
  <c r="E83" i="11"/>
  <c r="G83" i="11" s="1"/>
  <c r="I82" i="11"/>
  <c r="J82" i="11" s="1"/>
  <c r="E82" i="11"/>
  <c r="G82" i="11" s="1"/>
  <c r="I81" i="11"/>
  <c r="J81" i="11" s="1"/>
  <c r="E81" i="11"/>
  <c r="G81" i="11" s="1"/>
  <c r="I80" i="11"/>
  <c r="J80" i="11" s="1"/>
  <c r="E80" i="11"/>
  <c r="G80" i="11" s="1"/>
  <c r="I79" i="11"/>
  <c r="J79" i="11" s="1"/>
  <c r="E79" i="11"/>
  <c r="G79" i="11" s="1"/>
  <c r="I78" i="11"/>
  <c r="J78" i="11" s="1"/>
  <c r="E78" i="11"/>
  <c r="G78" i="11" s="1"/>
  <c r="I77" i="11"/>
  <c r="J77" i="11" s="1"/>
  <c r="E77" i="11"/>
  <c r="G77" i="11" s="1"/>
  <c r="I76" i="11"/>
  <c r="J76" i="11" s="1"/>
  <c r="E76" i="11"/>
  <c r="G76" i="11" s="1"/>
  <c r="I75" i="11"/>
  <c r="J75" i="11" s="1"/>
  <c r="E75" i="11"/>
  <c r="G75" i="11" s="1"/>
  <c r="I74" i="11"/>
  <c r="J74" i="11" s="1"/>
  <c r="E74" i="11"/>
  <c r="G74" i="11" s="1"/>
  <c r="I73" i="11"/>
  <c r="J73" i="11" s="1"/>
  <c r="G73" i="11"/>
  <c r="E73" i="11"/>
  <c r="I72" i="11"/>
  <c r="J72" i="11" s="1"/>
  <c r="E72" i="11"/>
  <c r="G72" i="11" s="1"/>
  <c r="I71" i="11"/>
  <c r="J71" i="11" s="1"/>
  <c r="E71" i="11"/>
  <c r="G71" i="11" s="1"/>
  <c r="I70" i="11"/>
  <c r="J70" i="11" s="1"/>
  <c r="E70" i="11"/>
  <c r="G70" i="11" s="1"/>
  <c r="I69" i="11"/>
  <c r="J69" i="11" s="1"/>
  <c r="E69" i="11"/>
  <c r="G69" i="11" s="1"/>
  <c r="I68" i="11"/>
  <c r="J68" i="11" s="1"/>
  <c r="E68" i="11"/>
  <c r="G68" i="11" s="1"/>
  <c r="I67" i="11"/>
  <c r="J67" i="11" s="1"/>
  <c r="E67" i="11"/>
  <c r="G67" i="11" s="1"/>
  <c r="I66" i="11"/>
  <c r="J66" i="11" s="1"/>
  <c r="E66" i="11"/>
  <c r="G66" i="11" s="1"/>
  <c r="I65" i="11"/>
  <c r="J65" i="11" s="1"/>
  <c r="E65" i="11"/>
  <c r="G65" i="11" s="1"/>
  <c r="I64" i="11"/>
  <c r="J64" i="11" s="1"/>
  <c r="E64" i="11"/>
  <c r="G64" i="11" s="1"/>
  <c r="I63" i="11"/>
  <c r="J63" i="11" s="1"/>
  <c r="E63" i="11"/>
  <c r="G63" i="11" s="1"/>
  <c r="I62" i="11"/>
  <c r="J62" i="11" s="1"/>
  <c r="E62" i="11"/>
  <c r="G62" i="11" s="1"/>
  <c r="I61" i="11"/>
  <c r="J61" i="11" s="1"/>
  <c r="E61" i="11"/>
  <c r="G61" i="11" s="1"/>
  <c r="I60" i="11"/>
  <c r="J60" i="11" s="1"/>
  <c r="E60" i="11"/>
  <c r="G60" i="11" s="1"/>
  <c r="I59" i="11"/>
  <c r="J59" i="11" s="1"/>
  <c r="E59" i="11"/>
  <c r="G59" i="11" s="1"/>
  <c r="I58" i="11"/>
  <c r="J58" i="11" s="1"/>
  <c r="E58" i="11"/>
  <c r="G58" i="11" s="1"/>
  <c r="I57" i="11"/>
  <c r="J57" i="11" s="1"/>
  <c r="G57" i="11"/>
  <c r="E57" i="11"/>
  <c r="I56" i="11"/>
  <c r="J56" i="11" s="1"/>
  <c r="E56" i="11"/>
  <c r="G56" i="11" s="1"/>
  <c r="I55" i="11"/>
  <c r="J55" i="11" s="1"/>
  <c r="E55" i="11"/>
  <c r="G55" i="11" s="1"/>
  <c r="I54" i="11"/>
  <c r="J54" i="11" s="1"/>
  <c r="E54" i="11"/>
  <c r="G54" i="11" s="1"/>
  <c r="I53" i="11"/>
  <c r="J53" i="11" s="1"/>
  <c r="E53" i="11"/>
  <c r="G53" i="11" s="1"/>
  <c r="I52" i="11"/>
  <c r="J52" i="11" s="1"/>
  <c r="E52" i="11"/>
  <c r="G52" i="11" s="1"/>
  <c r="I51" i="11"/>
  <c r="J51" i="11" s="1"/>
  <c r="E51" i="11"/>
  <c r="G51" i="11" s="1"/>
  <c r="I50" i="11"/>
  <c r="J50" i="11" s="1"/>
  <c r="E50" i="11"/>
  <c r="G50" i="11" s="1"/>
  <c r="I49" i="11"/>
  <c r="J49" i="11" s="1"/>
  <c r="E49" i="11"/>
  <c r="G49" i="11" s="1"/>
  <c r="I48" i="11"/>
  <c r="J48" i="11" s="1"/>
  <c r="E48" i="11"/>
  <c r="G48" i="11" s="1"/>
  <c r="I47" i="11"/>
  <c r="J47" i="11" s="1"/>
  <c r="E47" i="11"/>
  <c r="G47" i="11" s="1"/>
  <c r="I46" i="11"/>
  <c r="J46" i="11" s="1"/>
  <c r="E46" i="11"/>
  <c r="G46" i="11" s="1"/>
  <c r="I45" i="11"/>
  <c r="J45" i="11" s="1"/>
  <c r="E45" i="11"/>
  <c r="G45" i="11" s="1"/>
  <c r="I44" i="11"/>
  <c r="J44" i="11" s="1"/>
  <c r="E44" i="11"/>
  <c r="G44" i="11" s="1"/>
  <c r="I43" i="11"/>
  <c r="J43" i="11" s="1"/>
  <c r="E43" i="11"/>
  <c r="G43" i="11" s="1"/>
  <c r="I42" i="11"/>
  <c r="J42" i="11" s="1"/>
  <c r="E42" i="11"/>
  <c r="G42" i="11" s="1"/>
  <c r="I41" i="11"/>
  <c r="J41" i="11" s="1"/>
  <c r="E41" i="11"/>
  <c r="G41" i="11" s="1"/>
  <c r="I40" i="11"/>
  <c r="J40" i="11" s="1"/>
  <c r="E40" i="11"/>
  <c r="G40" i="11" s="1"/>
  <c r="I39" i="11"/>
  <c r="J39" i="11" s="1"/>
  <c r="E39" i="11"/>
  <c r="G39" i="11" s="1"/>
  <c r="I38" i="11"/>
  <c r="J38" i="11" s="1"/>
  <c r="E38" i="11"/>
  <c r="G38" i="11" s="1"/>
  <c r="I37" i="11"/>
  <c r="J37" i="11" s="1"/>
  <c r="E37" i="11"/>
  <c r="G37" i="11" s="1"/>
  <c r="I36" i="11"/>
  <c r="J36" i="11" s="1"/>
  <c r="E36" i="11"/>
  <c r="G36" i="11" s="1"/>
  <c r="I35" i="11"/>
  <c r="J35" i="11" s="1"/>
  <c r="E35" i="11"/>
  <c r="G35" i="11" s="1"/>
  <c r="I34" i="11"/>
  <c r="J34" i="11" s="1"/>
  <c r="E34" i="11"/>
  <c r="G34" i="11" s="1"/>
  <c r="I33" i="11"/>
  <c r="J33" i="11" s="1"/>
  <c r="E33" i="11"/>
  <c r="G33" i="11" s="1"/>
  <c r="I32" i="11"/>
  <c r="J32" i="11" s="1"/>
  <c r="E32" i="11"/>
  <c r="G32" i="11" s="1"/>
  <c r="I31" i="11"/>
  <c r="J31" i="11" s="1"/>
  <c r="E31" i="11"/>
  <c r="G31" i="11" s="1"/>
  <c r="I30" i="11"/>
  <c r="J30" i="11" s="1"/>
  <c r="E30" i="11"/>
  <c r="G30" i="11" s="1"/>
  <c r="I29" i="11"/>
  <c r="J29" i="11" s="1"/>
  <c r="E29" i="11"/>
  <c r="G29" i="11" s="1"/>
  <c r="I28" i="11"/>
  <c r="J28" i="11" s="1"/>
  <c r="E28" i="11"/>
  <c r="G28" i="11" s="1"/>
  <c r="I27" i="11"/>
  <c r="J27" i="11" s="1"/>
  <c r="E27" i="11"/>
  <c r="G27" i="11" s="1"/>
  <c r="I26" i="11"/>
  <c r="J26" i="11" s="1"/>
  <c r="E26" i="11"/>
  <c r="G26" i="11" s="1"/>
  <c r="I25" i="11"/>
  <c r="J25" i="11" s="1"/>
  <c r="G25" i="11"/>
  <c r="E25" i="11"/>
  <c r="I24" i="11"/>
  <c r="J24" i="11" s="1"/>
  <c r="E24" i="11"/>
  <c r="G24" i="11" s="1"/>
  <c r="I23" i="11"/>
  <c r="J23" i="11" s="1"/>
  <c r="E23" i="11"/>
  <c r="G23" i="11" s="1"/>
  <c r="I22" i="11"/>
  <c r="J22" i="11" s="1"/>
  <c r="E22" i="11"/>
  <c r="G22" i="11" s="1"/>
  <c r="I21" i="11"/>
  <c r="J21" i="11" s="1"/>
  <c r="E21" i="11"/>
  <c r="G21" i="11" s="1"/>
  <c r="I20" i="11"/>
  <c r="J20" i="11" s="1"/>
  <c r="E20" i="11"/>
  <c r="G20" i="11" s="1"/>
  <c r="I19" i="11"/>
  <c r="J19" i="11" s="1"/>
  <c r="E19" i="11"/>
  <c r="G19" i="11" s="1"/>
  <c r="I18" i="11"/>
  <c r="J18" i="11" s="1"/>
  <c r="E18" i="11"/>
  <c r="G18" i="11" s="1"/>
  <c r="I17" i="11"/>
  <c r="J17" i="11" s="1"/>
  <c r="E17" i="11"/>
  <c r="G17" i="11" s="1"/>
  <c r="I16" i="11"/>
  <c r="J16" i="11" s="1"/>
  <c r="E16" i="11"/>
  <c r="G16" i="11" s="1"/>
  <c r="I15" i="11"/>
  <c r="J15" i="11" s="1"/>
  <c r="E15" i="11"/>
  <c r="G15" i="11" s="1"/>
  <c r="I14" i="11"/>
  <c r="J14" i="11" s="1"/>
  <c r="E14" i="11"/>
  <c r="G14" i="11" s="1"/>
  <c r="I13" i="11"/>
  <c r="J13" i="11" s="1"/>
  <c r="E13" i="11"/>
  <c r="G13" i="11" s="1"/>
  <c r="I12" i="11"/>
  <c r="J12" i="11" s="1"/>
  <c r="E12" i="11"/>
  <c r="G12" i="11" s="1"/>
  <c r="I11" i="11"/>
  <c r="J11" i="11" s="1"/>
  <c r="E11" i="11"/>
  <c r="G11" i="11" s="1"/>
  <c r="I10" i="11"/>
  <c r="J10" i="11" s="1"/>
  <c r="E10" i="11"/>
  <c r="G10" i="11" s="1"/>
  <c r="I9" i="11"/>
  <c r="J9" i="11" s="1"/>
  <c r="G9" i="11"/>
  <c r="E9" i="11"/>
  <c r="I8" i="11"/>
  <c r="J8" i="11" s="1"/>
  <c r="E8" i="11"/>
  <c r="G8" i="11" s="1"/>
  <c r="I7" i="11"/>
  <c r="J7" i="11" s="1"/>
  <c r="E7" i="11"/>
  <c r="G7" i="11" s="1"/>
  <c r="I6" i="11"/>
  <c r="J6" i="11" s="1"/>
  <c r="E6" i="11"/>
  <c r="G6" i="11" s="1"/>
  <c r="I5" i="11"/>
  <c r="J5" i="11" s="1"/>
  <c r="E5" i="11"/>
  <c r="G5" i="11" s="1"/>
  <c r="I4" i="11"/>
  <c r="J4" i="11" s="1"/>
  <c r="E4" i="11"/>
  <c r="G4" i="11" s="1"/>
  <c r="I3" i="11"/>
  <c r="J3" i="11" s="1"/>
  <c r="E3" i="11"/>
  <c r="G3" i="11" s="1"/>
  <c r="J120" i="10"/>
  <c r="I120" i="10"/>
  <c r="E120" i="10"/>
  <c r="G120" i="10" s="1"/>
  <c r="J119" i="10"/>
  <c r="I119" i="10"/>
  <c r="E119" i="10"/>
  <c r="G119" i="10" s="1"/>
  <c r="J118" i="10"/>
  <c r="I118" i="10"/>
  <c r="E118" i="10"/>
  <c r="G118" i="10" s="1"/>
  <c r="J117" i="10"/>
  <c r="I117" i="10"/>
  <c r="E117" i="10"/>
  <c r="G117" i="10" s="1"/>
  <c r="J116" i="10"/>
  <c r="I116" i="10"/>
  <c r="E116" i="10"/>
  <c r="G116" i="10" s="1"/>
  <c r="J115" i="10"/>
  <c r="I115" i="10"/>
  <c r="E115" i="10"/>
  <c r="G115" i="10" s="1"/>
  <c r="J114" i="10"/>
  <c r="I114" i="10"/>
  <c r="E114" i="10"/>
  <c r="G114" i="10" s="1"/>
  <c r="J113" i="10"/>
  <c r="I113" i="10"/>
  <c r="E113" i="10"/>
  <c r="G113" i="10" s="1"/>
  <c r="J112" i="10"/>
  <c r="I112" i="10"/>
  <c r="E112" i="10"/>
  <c r="G112" i="10" s="1"/>
  <c r="J111" i="10"/>
  <c r="I111" i="10"/>
  <c r="E111" i="10"/>
  <c r="G111" i="10" s="1"/>
  <c r="J110" i="10"/>
  <c r="I110" i="10"/>
  <c r="E110" i="10"/>
  <c r="G110" i="10" s="1"/>
  <c r="J109" i="10"/>
  <c r="I109" i="10"/>
  <c r="E109" i="10"/>
  <c r="G109" i="10" s="1"/>
  <c r="J108" i="10"/>
  <c r="I108" i="10"/>
  <c r="E108" i="10"/>
  <c r="G108" i="10" s="1"/>
  <c r="J107" i="10"/>
  <c r="I107" i="10"/>
  <c r="E107" i="10"/>
  <c r="G107" i="10" s="1"/>
  <c r="J106" i="10"/>
  <c r="I106" i="10"/>
  <c r="E106" i="10"/>
  <c r="G106" i="10" s="1"/>
  <c r="J105" i="10"/>
  <c r="I105" i="10"/>
  <c r="E105" i="10"/>
  <c r="G105" i="10" s="1"/>
  <c r="J104" i="10"/>
  <c r="I104" i="10"/>
  <c r="E104" i="10"/>
  <c r="G104" i="10" s="1"/>
  <c r="J103" i="10"/>
  <c r="I103" i="10"/>
  <c r="E103" i="10"/>
  <c r="G103" i="10" s="1"/>
  <c r="J102" i="10"/>
  <c r="I102" i="10"/>
  <c r="E102" i="10"/>
  <c r="G102" i="10" s="1"/>
  <c r="J101" i="10"/>
  <c r="I101" i="10"/>
  <c r="E101" i="10"/>
  <c r="G101" i="10" s="1"/>
  <c r="J100" i="10"/>
  <c r="I100" i="10"/>
  <c r="E100" i="10"/>
  <c r="G100" i="10" s="1"/>
  <c r="J99" i="10"/>
  <c r="I99" i="10"/>
  <c r="E99" i="10"/>
  <c r="G99" i="10" s="1"/>
  <c r="J98" i="10"/>
  <c r="I98" i="10"/>
  <c r="E98" i="10"/>
  <c r="G98" i="10" s="1"/>
  <c r="J97" i="10"/>
  <c r="I97" i="10"/>
  <c r="E97" i="10"/>
  <c r="G97" i="10" s="1"/>
  <c r="J96" i="10"/>
  <c r="I96" i="10"/>
  <c r="E96" i="10"/>
  <c r="G96" i="10" s="1"/>
  <c r="J95" i="10"/>
  <c r="I95" i="10"/>
  <c r="E95" i="10"/>
  <c r="G95" i="10" s="1"/>
  <c r="J94" i="10"/>
  <c r="I94" i="10"/>
  <c r="E94" i="10"/>
  <c r="G94" i="10" s="1"/>
  <c r="J93" i="10"/>
  <c r="I93" i="10"/>
  <c r="E93" i="10"/>
  <c r="G93" i="10" s="1"/>
  <c r="J92" i="10"/>
  <c r="I92" i="10"/>
  <c r="E92" i="10"/>
  <c r="G92" i="10" s="1"/>
  <c r="J91" i="10"/>
  <c r="I91" i="10"/>
  <c r="E91" i="10"/>
  <c r="G91" i="10" s="1"/>
  <c r="J90" i="10"/>
  <c r="I90" i="10"/>
  <c r="E90" i="10"/>
  <c r="G90" i="10" s="1"/>
  <c r="J89" i="10"/>
  <c r="I89" i="10"/>
  <c r="E89" i="10"/>
  <c r="G89" i="10" s="1"/>
  <c r="I83" i="10"/>
  <c r="J83" i="10" s="1"/>
  <c r="E83" i="10"/>
  <c r="G83" i="10" s="1"/>
  <c r="I82" i="10"/>
  <c r="J82" i="10" s="1"/>
  <c r="E82" i="10"/>
  <c r="G82" i="10" s="1"/>
  <c r="I81" i="10"/>
  <c r="J81" i="10" s="1"/>
  <c r="E81" i="10"/>
  <c r="G81" i="10" s="1"/>
  <c r="I80" i="10"/>
  <c r="J80" i="10" s="1"/>
  <c r="E80" i="10"/>
  <c r="G80" i="10" s="1"/>
  <c r="I79" i="10"/>
  <c r="J79" i="10" s="1"/>
  <c r="E79" i="10"/>
  <c r="G79" i="10" s="1"/>
  <c r="I78" i="10"/>
  <c r="J78" i="10" s="1"/>
  <c r="E78" i="10"/>
  <c r="G78" i="10" s="1"/>
  <c r="I77" i="10"/>
  <c r="J77" i="10" s="1"/>
  <c r="E77" i="10"/>
  <c r="G77" i="10" s="1"/>
  <c r="I76" i="10"/>
  <c r="J76" i="10" s="1"/>
  <c r="E76" i="10"/>
  <c r="G76" i="10" s="1"/>
  <c r="I75" i="10"/>
  <c r="J75" i="10" s="1"/>
  <c r="E75" i="10"/>
  <c r="G75" i="10" s="1"/>
  <c r="I74" i="10"/>
  <c r="J74" i="10" s="1"/>
  <c r="E74" i="10"/>
  <c r="G74" i="10" s="1"/>
  <c r="I73" i="10"/>
  <c r="J73" i="10" s="1"/>
  <c r="G73" i="10"/>
  <c r="E73" i="10"/>
  <c r="I72" i="10"/>
  <c r="J72" i="10" s="1"/>
  <c r="E72" i="10"/>
  <c r="G72" i="10" s="1"/>
  <c r="I71" i="10"/>
  <c r="J71" i="10" s="1"/>
  <c r="E71" i="10"/>
  <c r="G71" i="10" s="1"/>
  <c r="I70" i="10"/>
  <c r="J70" i="10" s="1"/>
  <c r="E70" i="10"/>
  <c r="G70" i="10" s="1"/>
  <c r="I69" i="10"/>
  <c r="J69" i="10" s="1"/>
  <c r="E69" i="10"/>
  <c r="G69" i="10" s="1"/>
  <c r="I68" i="10"/>
  <c r="J68" i="10" s="1"/>
  <c r="E68" i="10"/>
  <c r="G68" i="10" s="1"/>
  <c r="I67" i="10"/>
  <c r="J67" i="10" s="1"/>
  <c r="E67" i="10"/>
  <c r="G67" i="10" s="1"/>
  <c r="I66" i="10"/>
  <c r="J66" i="10" s="1"/>
  <c r="E66" i="10"/>
  <c r="G66" i="10" s="1"/>
  <c r="I65" i="10"/>
  <c r="J65" i="10" s="1"/>
  <c r="E65" i="10"/>
  <c r="G65" i="10" s="1"/>
  <c r="I64" i="10"/>
  <c r="J64" i="10" s="1"/>
  <c r="E64" i="10"/>
  <c r="G64" i="10" s="1"/>
  <c r="I63" i="10"/>
  <c r="J63" i="10" s="1"/>
  <c r="E63" i="10"/>
  <c r="G63" i="10" s="1"/>
  <c r="I62" i="10"/>
  <c r="J62" i="10" s="1"/>
  <c r="E62" i="10"/>
  <c r="G62" i="10" s="1"/>
  <c r="I61" i="10"/>
  <c r="J61" i="10" s="1"/>
  <c r="E61" i="10"/>
  <c r="G61" i="10" s="1"/>
  <c r="I60" i="10"/>
  <c r="J60" i="10" s="1"/>
  <c r="E60" i="10"/>
  <c r="G60" i="10" s="1"/>
  <c r="I59" i="10"/>
  <c r="J59" i="10" s="1"/>
  <c r="E59" i="10"/>
  <c r="G59" i="10" s="1"/>
  <c r="I58" i="10"/>
  <c r="J58" i="10" s="1"/>
  <c r="E58" i="10"/>
  <c r="G58" i="10" s="1"/>
  <c r="I57" i="10"/>
  <c r="J57" i="10" s="1"/>
  <c r="E57" i="10"/>
  <c r="G57" i="10" s="1"/>
  <c r="I56" i="10"/>
  <c r="J56" i="10" s="1"/>
  <c r="E56" i="10"/>
  <c r="G56" i="10" s="1"/>
  <c r="I55" i="10"/>
  <c r="J55" i="10" s="1"/>
  <c r="G55" i="10"/>
  <c r="E55" i="10"/>
  <c r="I54" i="10"/>
  <c r="J54" i="10" s="1"/>
  <c r="E54" i="10"/>
  <c r="G54" i="10" s="1"/>
  <c r="I53" i="10"/>
  <c r="J53" i="10" s="1"/>
  <c r="E53" i="10"/>
  <c r="G53" i="10" s="1"/>
  <c r="I52" i="10"/>
  <c r="J52" i="10" s="1"/>
  <c r="E52" i="10"/>
  <c r="G52" i="10" s="1"/>
  <c r="I51" i="10"/>
  <c r="J51" i="10" s="1"/>
  <c r="E51" i="10"/>
  <c r="G51" i="10" s="1"/>
  <c r="I50" i="10"/>
  <c r="J50" i="10" s="1"/>
  <c r="E50" i="10"/>
  <c r="G50" i="10" s="1"/>
  <c r="I49" i="10"/>
  <c r="J49" i="10" s="1"/>
  <c r="E49" i="10"/>
  <c r="G49" i="10" s="1"/>
  <c r="I48" i="10"/>
  <c r="J48" i="10" s="1"/>
  <c r="E48" i="10"/>
  <c r="G48" i="10" s="1"/>
  <c r="I47" i="10"/>
  <c r="J47" i="10" s="1"/>
  <c r="E47" i="10"/>
  <c r="G47" i="10" s="1"/>
  <c r="I46" i="10"/>
  <c r="J46" i="10" s="1"/>
  <c r="E46" i="10"/>
  <c r="G46" i="10" s="1"/>
  <c r="I45" i="10"/>
  <c r="J45" i="10" s="1"/>
  <c r="E45" i="10"/>
  <c r="G45" i="10" s="1"/>
  <c r="I44" i="10"/>
  <c r="J44" i="10" s="1"/>
  <c r="E44" i="10"/>
  <c r="G44" i="10" s="1"/>
  <c r="I43" i="10"/>
  <c r="J43" i="10" s="1"/>
  <c r="E43" i="10"/>
  <c r="G43" i="10" s="1"/>
  <c r="I42" i="10"/>
  <c r="J42" i="10" s="1"/>
  <c r="E42" i="10"/>
  <c r="G42" i="10" s="1"/>
  <c r="I41" i="10"/>
  <c r="J41" i="10" s="1"/>
  <c r="E41" i="10"/>
  <c r="G41" i="10" s="1"/>
  <c r="I40" i="10"/>
  <c r="J40" i="10" s="1"/>
  <c r="E40" i="10"/>
  <c r="G40" i="10" s="1"/>
  <c r="I39" i="10"/>
  <c r="J39" i="10" s="1"/>
  <c r="E39" i="10"/>
  <c r="G39" i="10" s="1"/>
  <c r="I38" i="10"/>
  <c r="J38" i="10" s="1"/>
  <c r="E38" i="10"/>
  <c r="G38" i="10" s="1"/>
  <c r="I37" i="10"/>
  <c r="J37" i="10" s="1"/>
  <c r="E37" i="10"/>
  <c r="G37" i="10" s="1"/>
  <c r="I36" i="10"/>
  <c r="J36" i="10" s="1"/>
  <c r="E36" i="10"/>
  <c r="G36" i="10" s="1"/>
  <c r="I35" i="10"/>
  <c r="J35" i="10" s="1"/>
  <c r="E35" i="10"/>
  <c r="G35" i="10" s="1"/>
  <c r="I34" i="10"/>
  <c r="J34" i="10" s="1"/>
  <c r="E34" i="10"/>
  <c r="G34" i="10" s="1"/>
  <c r="I33" i="10"/>
  <c r="J33" i="10" s="1"/>
  <c r="E33" i="10"/>
  <c r="G33" i="10" s="1"/>
  <c r="I32" i="10"/>
  <c r="J32" i="10" s="1"/>
  <c r="E32" i="10"/>
  <c r="G32" i="10" s="1"/>
  <c r="I31" i="10"/>
  <c r="J31" i="10" s="1"/>
  <c r="E31" i="10"/>
  <c r="G31" i="10" s="1"/>
  <c r="I30" i="10"/>
  <c r="J30" i="10" s="1"/>
  <c r="E30" i="10"/>
  <c r="G30" i="10" s="1"/>
  <c r="I29" i="10"/>
  <c r="J29" i="10" s="1"/>
  <c r="E29" i="10"/>
  <c r="G29" i="10" s="1"/>
  <c r="I28" i="10"/>
  <c r="J28" i="10" s="1"/>
  <c r="E28" i="10"/>
  <c r="G28" i="10" s="1"/>
  <c r="I27" i="10"/>
  <c r="J27" i="10" s="1"/>
  <c r="E27" i="10"/>
  <c r="G27" i="10" s="1"/>
  <c r="I26" i="10"/>
  <c r="J26" i="10" s="1"/>
  <c r="E26" i="10"/>
  <c r="G26" i="10" s="1"/>
  <c r="I25" i="10"/>
  <c r="J25" i="10" s="1"/>
  <c r="E25" i="10"/>
  <c r="G25" i="10" s="1"/>
  <c r="I24" i="10"/>
  <c r="J24" i="10" s="1"/>
  <c r="E24" i="10"/>
  <c r="G24" i="10" s="1"/>
  <c r="I23" i="10"/>
  <c r="J23" i="10" s="1"/>
  <c r="E23" i="10"/>
  <c r="G23" i="10" s="1"/>
  <c r="I22" i="10"/>
  <c r="J22" i="10" s="1"/>
  <c r="E22" i="10"/>
  <c r="G22" i="10" s="1"/>
  <c r="I21" i="10"/>
  <c r="J21" i="10" s="1"/>
  <c r="E21" i="10"/>
  <c r="G21" i="10" s="1"/>
  <c r="I20" i="10"/>
  <c r="J20" i="10" s="1"/>
  <c r="E20" i="10"/>
  <c r="G20" i="10" s="1"/>
  <c r="I19" i="10"/>
  <c r="J19" i="10" s="1"/>
  <c r="E19" i="10"/>
  <c r="G19" i="10" s="1"/>
  <c r="I18" i="10"/>
  <c r="J18" i="10" s="1"/>
  <c r="E18" i="10"/>
  <c r="G18" i="10" s="1"/>
  <c r="I17" i="10"/>
  <c r="J17" i="10" s="1"/>
  <c r="E17" i="10"/>
  <c r="G17" i="10" s="1"/>
  <c r="I16" i="10"/>
  <c r="J16" i="10" s="1"/>
  <c r="E16" i="10"/>
  <c r="G16" i="10" s="1"/>
  <c r="I15" i="10"/>
  <c r="J15" i="10" s="1"/>
  <c r="E15" i="10"/>
  <c r="G15" i="10" s="1"/>
  <c r="I14" i="10"/>
  <c r="J14" i="10" s="1"/>
  <c r="E14" i="10"/>
  <c r="G14" i="10" s="1"/>
  <c r="I13" i="10"/>
  <c r="J13" i="10" s="1"/>
  <c r="E13" i="10"/>
  <c r="G13" i="10" s="1"/>
  <c r="I12" i="10"/>
  <c r="J12" i="10" s="1"/>
  <c r="E12" i="10"/>
  <c r="G12" i="10" s="1"/>
  <c r="I11" i="10"/>
  <c r="J11" i="10" s="1"/>
  <c r="E11" i="10"/>
  <c r="G11" i="10" s="1"/>
  <c r="I10" i="10"/>
  <c r="J10" i="10" s="1"/>
  <c r="E10" i="10"/>
  <c r="G10" i="10" s="1"/>
  <c r="I9" i="10"/>
  <c r="J9" i="10" s="1"/>
  <c r="E9" i="10"/>
  <c r="G9" i="10" s="1"/>
  <c r="I8" i="10"/>
  <c r="J8" i="10" s="1"/>
  <c r="E8" i="10"/>
  <c r="G8" i="10" s="1"/>
  <c r="I7" i="10"/>
  <c r="J7" i="10" s="1"/>
  <c r="E7" i="10"/>
  <c r="G7" i="10" s="1"/>
  <c r="I6" i="10"/>
  <c r="J6" i="10" s="1"/>
  <c r="E6" i="10"/>
  <c r="G6" i="10" s="1"/>
  <c r="I5" i="10"/>
  <c r="J5" i="10" s="1"/>
  <c r="E5" i="10"/>
  <c r="G5" i="10" s="1"/>
  <c r="I4" i="10"/>
  <c r="J4" i="10" s="1"/>
  <c r="E4" i="10"/>
  <c r="G4" i="10" s="1"/>
  <c r="I3" i="10"/>
  <c r="J3" i="10" s="1"/>
  <c r="E3" i="10"/>
  <c r="G3" i="10" s="1"/>
  <c r="J120" i="9"/>
  <c r="I120" i="9"/>
  <c r="E120" i="9"/>
  <c r="G120" i="9" s="1"/>
  <c r="J119" i="9"/>
  <c r="I119" i="9"/>
  <c r="E119" i="9"/>
  <c r="G119" i="9" s="1"/>
  <c r="J118" i="9"/>
  <c r="I118" i="9"/>
  <c r="E118" i="9"/>
  <c r="G118" i="9" s="1"/>
  <c r="J117" i="9"/>
  <c r="I117" i="9"/>
  <c r="E117" i="9"/>
  <c r="G117" i="9" s="1"/>
  <c r="J116" i="9"/>
  <c r="I116" i="9"/>
  <c r="E116" i="9"/>
  <c r="G116" i="9" s="1"/>
  <c r="J115" i="9"/>
  <c r="I115" i="9"/>
  <c r="E115" i="9"/>
  <c r="G115" i="9" s="1"/>
  <c r="J114" i="9"/>
  <c r="I114" i="9"/>
  <c r="E114" i="9"/>
  <c r="G114" i="9" s="1"/>
  <c r="J113" i="9"/>
  <c r="I113" i="9"/>
  <c r="E113" i="9"/>
  <c r="G113" i="9" s="1"/>
  <c r="J112" i="9"/>
  <c r="I112" i="9"/>
  <c r="E112" i="9"/>
  <c r="G112" i="9" s="1"/>
  <c r="J111" i="9"/>
  <c r="I111" i="9"/>
  <c r="E111" i="9"/>
  <c r="G111" i="9" s="1"/>
  <c r="J110" i="9"/>
  <c r="I110" i="9"/>
  <c r="E110" i="9"/>
  <c r="G110" i="9" s="1"/>
  <c r="J109" i="9"/>
  <c r="I109" i="9"/>
  <c r="E109" i="9"/>
  <c r="G109" i="9" s="1"/>
  <c r="J108" i="9"/>
  <c r="I108" i="9"/>
  <c r="E108" i="9"/>
  <c r="G108" i="9" s="1"/>
  <c r="J107" i="9"/>
  <c r="I107" i="9"/>
  <c r="E107" i="9"/>
  <c r="G107" i="9" s="1"/>
  <c r="J106" i="9"/>
  <c r="I106" i="9"/>
  <c r="E106" i="9"/>
  <c r="G106" i="9" s="1"/>
  <c r="J105" i="9"/>
  <c r="I105" i="9"/>
  <c r="E105" i="9"/>
  <c r="G105" i="9" s="1"/>
  <c r="J104" i="9"/>
  <c r="I104" i="9"/>
  <c r="E104" i="9"/>
  <c r="G104" i="9" s="1"/>
  <c r="J103" i="9"/>
  <c r="I103" i="9"/>
  <c r="E103" i="9"/>
  <c r="G103" i="9" s="1"/>
  <c r="J102" i="9"/>
  <c r="I102" i="9"/>
  <c r="E102" i="9"/>
  <c r="G102" i="9" s="1"/>
  <c r="J101" i="9"/>
  <c r="I101" i="9"/>
  <c r="E101" i="9"/>
  <c r="G101" i="9" s="1"/>
  <c r="J100" i="9"/>
  <c r="I100" i="9"/>
  <c r="E100" i="9"/>
  <c r="G100" i="9" s="1"/>
  <c r="J99" i="9"/>
  <c r="I99" i="9"/>
  <c r="E99" i="9"/>
  <c r="G99" i="9" s="1"/>
  <c r="J98" i="9"/>
  <c r="I98" i="9"/>
  <c r="E98" i="9"/>
  <c r="G98" i="9" s="1"/>
  <c r="J97" i="9"/>
  <c r="I97" i="9"/>
  <c r="E97" i="9"/>
  <c r="G97" i="9" s="1"/>
  <c r="J96" i="9"/>
  <c r="I96" i="9"/>
  <c r="E96" i="9"/>
  <c r="G96" i="9" s="1"/>
  <c r="J95" i="9"/>
  <c r="I95" i="9"/>
  <c r="E95" i="9"/>
  <c r="G95" i="9" s="1"/>
  <c r="J94" i="9"/>
  <c r="I94" i="9"/>
  <c r="E94" i="9"/>
  <c r="G94" i="9" s="1"/>
  <c r="J93" i="9"/>
  <c r="I93" i="9"/>
  <c r="E93" i="9"/>
  <c r="G93" i="9" s="1"/>
  <c r="J92" i="9"/>
  <c r="I92" i="9"/>
  <c r="E92" i="9"/>
  <c r="G92" i="9" s="1"/>
  <c r="J91" i="9"/>
  <c r="I91" i="9"/>
  <c r="E91" i="9"/>
  <c r="G91" i="9" s="1"/>
  <c r="J90" i="9"/>
  <c r="I90" i="9"/>
  <c r="E90" i="9"/>
  <c r="G90" i="9" s="1"/>
  <c r="I89" i="9"/>
  <c r="E89" i="9"/>
  <c r="G89" i="9" s="1"/>
  <c r="G121" i="9" s="1"/>
  <c r="I83" i="9"/>
  <c r="J83" i="9" s="1"/>
  <c r="E83" i="9"/>
  <c r="G83" i="9" s="1"/>
  <c r="I82" i="9"/>
  <c r="J82" i="9" s="1"/>
  <c r="E82" i="9"/>
  <c r="G82" i="9" s="1"/>
  <c r="I81" i="9"/>
  <c r="J81" i="9" s="1"/>
  <c r="E81" i="9"/>
  <c r="G81" i="9" s="1"/>
  <c r="I80" i="9"/>
  <c r="J80" i="9" s="1"/>
  <c r="E80" i="9"/>
  <c r="G80" i="9" s="1"/>
  <c r="I79" i="9"/>
  <c r="J79" i="9" s="1"/>
  <c r="E79" i="9"/>
  <c r="G79" i="9" s="1"/>
  <c r="I78" i="9"/>
  <c r="J78" i="9" s="1"/>
  <c r="E78" i="9"/>
  <c r="G78" i="9" s="1"/>
  <c r="I77" i="9"/>
  <c r="J77" i="9" s="1"/>
  <c r="E77" i="9"/>
  <c r="G77" i="9" s="1"/>
  <c r="I76" i="9"/>
  <c r="J76" i="9" s="1"/>
  <c r="E76" i="9"/>
  <c r="G76" i="9" s="1"/>
  <c r="I75" i="9"/>
  <c r="J75" i="9" s="1"/>
  <c r="E75" i="9"/>
  <c r="G75" i="9" s="1"/>
  <c r="I74" i="9"/>
  <c r="J74" i="9" s="1"/>
  <c r="E74" i="9"/>
  <c r="G74" i="9" s="1"/>
  <c r="I73" i="9"/>
  <c r="J73" i="9" s="1"/>
  <c r="G73" i="9"/>
  <c r="E73" i="9"/>
  <c r="I72" i="9"/>
  <c r="J72" i="9" s="1"/>
  <c r="E72" i="9"/>
  <c r="G72" i="9" s="1"/>
  <c r="I71" i="9"/>
  <c r="J71" i="9" s="1"/>
  <c r="E71" i="9"/>
  <c r="G71" i="9" s="1"/>
  <c r="I70" i="9"/>
  <c r="J70" i="9" s="1"/>
  <c r="E70" i="9"/>
  <c r="G70" i="9" s="1"/>
  <c r="I69" i="9"/>
  <c r="J69" i="9" s="1"/>
  <c r="G69" i="9"/>
  <c r="E69" i="9"/>
  <c r="I68" i="9"/>
  <c r="J68" i="9" s="1"/>
  <c r="E68" i="9"/>
  <c r="G68" i="9" s="1"/>
  <c r="I67" i="9"/>
  <c r="J67" i="9" s="1"/>
  <c r="E67" i="9"/>
  <c r="G67" i="9" s="1"/>
  <c r="I66" i="9"/>
  <c r="J66" i="9" s="1"/>
  <c r="E66" i="9"/>
  <c r="G66" i="9" s="1"/>
  <c r="I65" i="9"/>
  <c r="J65" i="9" s="1"/>
  <c r="E65" i="9"/>
  <c r="G65" i="9" s="1"/>
  <c r="I64" i="9"/>
  <c r="J64" i="9" s="1"/>
  <c r="E64" i="9"/>
  <c r="G64" i="9" s="1"/>
  <c r="I63" i="9"/>
  <c r="J63" i="9" s="1"/>
  <c r="E63" i="9"/>
  <c r="G63" i="9" s="1"/>
  <c r="I62" i="9"/>
  <c r="J62" i="9" s="1"/>
  <c r="E62" i="9"/>
  <c r="G62" i="9" s="1"/>
  <c r="I61" i="9"/>
  <c r="J61" i="9" s="1"/>
  <c r="E61" i="9"/>
  <c r="G61" i="9" s="1"/>
  <c r="I60" i="9"/>
  <c r="J60" i="9" s="1"/>
  <c r="E60" i="9"/>
  <c r="G60" i="9" s="1"/>
  <c r="I59" i="9"/>
  <c r="J59" i="9" s="1"/>
  <c r="E59" i="9"/>
  <c r="G59" i="9" s="1"/>
  <c r="I58" i="9"/>
  <c r="J58" i="9" s="1"/>
  <c r="E58" i="9"/>
  <c r="G58" i="9" s="1"/>
  <c r="I57" i="9"/>
  <c r="J57" i="9" s="1"/>
  <c r="E57" i="9"/>
  <c r="G57" i="9" s="1"/>
  <c r="I56" i="9"/>
  <c r="J56" i="9" s="1"/>
  <c r="E56" i="9"/>
  <c r="G56" i="9" s="1"/>
  <c r="I55" i="9"/>
  <c r="J55" i="9" s="1"/>
  <c r="E55" i="9"/>
  <c r="G55" i="9" s="1"/>
  <c r="I54" i="9"/>
  <c r="J54" i="9" s="1"/>
  <c r="E54" i="9"/>
  <c r="G54" i="9" s="1"/>
  <c r="I53" i="9"/>
  <c r="J53" i="9" s="1"/>
  <c r="E53" i="9"/>
  <c r="G53" i="9" s="1"/>
  <c r="I52" i="9"/>
  <c r="J52" i="9" s="1"/>
  <c r="E52" i="9"/>
  <c r="G52" i="9" s="1"/>
  <c r="I51" i="9"/>
  <c r="J51" i="9" s="1"/>
  <c r="E51" i="9"/>
  <c r="G51" i="9" s="1"/>
  <c r="I50" i="9"/>
  <c r="J50" i="9" s="1"/>
  <c r="E50" i="9"/>
  <c r="G50" i="9" s="1"/>
  <c r="I49" i="9"/>
  <c r="J49" i="9" s="1"/>
  <c r="E49" i="9"/>
  <c r="G49" i="9" s="1"/>
  <c r="I48" i="9"/>
  <c r="J48" i="9" s="1"/>
  <c r="E48" i="9"/>
  <c r="G48" i="9" s="1"/>
  <c r="I47" i="9"/>
  <c r="J47" i="9" s="1"/>
  <c r="E47" i="9"/>
  <c r="G47" i="9" s="1"/>
  <c r="I46" i="9"/>
  <c r="J46" i="9" s="1"/>
  <c r="E46" i="9"/>
  <c r="G46" i="9" s="1"/>
  <c r="I45" i="9"/>
  <c r="J45" i="9" s="1"/>
  <c r="E45" i="9"/>
  <c r="G45" i="9" s="1"/>
  <c r="I44" i="9"/>
  <c r="J44" i="9" s="1"/>
  <c r="E44" i="9"/>
  <c r="G44" i="9" s="1"/>
  <c r="I43" i="9"/>
  <c r="J43" i="9" s="1"/>
  <c r="E43" i="9"/>
  <c r="G43" i="9" s="1"/>
  <c r="I42" i="9"/>
  <c r="J42" i="9" s="1"/>
  <c r="E42" i="9"/>
  <c r="G42" i="9" s="1"/>
  <c r="I41" i="9"/>
  <c r="J41" i="9" s="1"/>
  <c r="E41" i="9"/>
  <c r="G41" i="9" s="1"/>
  <c r="I40" i="9"/>
  <c r="J40" i="9" s="1"/>
  <c r="E40" i="9"/>
  <c r="G40" i="9" s="1"/>
  <c r="I39" i="9"/>
  <c r="J39" i="9" s="1"/>
  <c r="E39" i="9"/>
  <c r="G39" i="9" s="1"/>
  <c r="I38" i="9"/>
  <c r="J38" i="9" s="1"/>
  <c r="E38" i="9"/>
  <c r="G38" i="9" s="1"/>
  <c r="I37" i="9"/>
  <c r="J37" i="9" s="1"/>
  <c r="E37" i="9"/>
  <c r="G37" i="9" s="1"/>
  <c r="I36" i="9"/>
  <c r="J36" i="9" s="1"/>
  <c r="E36" i="9"/>
  <c r="G36" i="9" s="1"/>
  <c r="I35" i="9"/>
  <c r="J35" i="9" s="1"/>
  <c r="E35" i="9"/>
  <c r="G35" i="9" s="1"/>
  <c r="I34" i="9"/>
  <c r="J34" i="9" s="1"/>
  <c r="E34" i="9"/>
  <c r="G34" i="9" s="1"/>
  <c r="I33" i="9"/>
  <c r="J33" i="9" s="1"/>
  <c r="E33" i="9"/>
  <c r="G33" i="9" s="1"/>
  <c r="I32" i="9"/>
  <c r="J32" i="9" s="1"/>
  <c r="E32" i="9"/>
  <c r="G32" i="9" s="1"/>
  <c r="I31" i="9"/>
  <c r="J31" i="9" s="1"/>
  <c r="E31" i="9"/>
  <c r="G31" i="9" s="1"/>
  <c r="I30" i="9"/>
  <c r="J30" i="9" s="1"/>
  <c r="E30" i="9"/>
  <c r="G30" i="9" s="1"/>
  <c r="I29" i="9"/>
  <c r="J29" i="9" s="1"/>
  <c r="E29" i="9"/>
  <c r="G29" i="9" s="1"/>
  <c r="I28" i="9"/>
  <c r="J28" i="9" s="1"/>
  <c r="E28" i="9"/>
  <c r="G28" i="9" s="1"/>
  <c r="I27" i="9"/>
  <c r="J27" i="9" s="1"/>
  <c r="E27" i="9"/>
  <c r="G27" i="9" s="1"/>
  <c r="I26" i="9"/>
  <c r="J26" i="9" s="1"/>
  <c r="E26" i="9"/>
  <c r="G26" i="9" s="1"/>
  <c r="I25" i="9"/>
  <c r="J25" i="9" s="1"/>
  <c r="E25" i="9"/>
  <c r="G25" i="9" s="1"/>
  <c r="I24" i="9"/>
  <c r="J24" i="9" s="1"/>
  <c r="E24" i="9"/>
  <c r="G24" i="9" s="1"/>
  <c r="I23" i="9"/>
  <c r="J23" i="9" s="1"/>
  <c r="E23" i="9"/>
  <c r="G23" i="9" s="1"/>
  <c r="I22" i="9"/>
  <c r="J22" i="9" s="1"/>
  <c r="E22" i="9"/>
  <c r="G22" i="9" s="1"/>
  <c r="I21" i="9"/>
  <c r="J21" i="9" s="1"/>
  <c r="E21" i="9"/>
  <c r="G21" i="9" s="1"/>
  <c r="I20" i="9"/>
  <c r="J20" i="9" s="1"/>
  <c r="E20" i="9"/>
  <c r="G20" i="9" s="1"/>
  <c r="I19" i="9"/>
  <c r="J19" i="9" s="1"/>
  <c r="E19" i="9"/>
  <c r="G19" i="9" s="1"/>
  <c r="I18" i="9"/>
  <c r="J18" i="9" s="1"/>
  <c r="E18" i="9"/>
  <c r="G18" i="9" s="1"/>
  <c r="I17" i="9"/>
  <c r="J17" i="9" s="1"/>
  <c r="E17" i="9"/>
  <c r="G17" i="9" s="1"/>
  <c r="I16" i="9"/>
  <c r="J16" i="9" s="1"/>
  <c r="E16" i="9"/>
  <c r="G16" i="9" s="1"/>
  <c r="I15" i="9"/>
  <c r="J15" i="9" s="1"/>
  <c r="E15" i="9"/>
  <c r="G15" i="9" s="1"/>
  <c r="I14" i="9"/>
  <c r="J14" i="9" s="1"/>
  <c r="E14" i="9"/>
  <c r="G14" i="9" s="1"/>
  <c r="I13" i="9"/>
  <c r="J13" i="9" s="1"/>
  <c r="E13" i="9"/>
  <c r="G13" i="9" s="1"/>
  <c r="I12" i="9"/>
  <c r="J12" i="9" s="1"/>
  <c r="E12" i="9"/>
  <c r="G12" i="9" s="1"/>
  <c r="I11" i="9"/>
  <c r="J11" i="9" s="1"/>
  <c r="E11" i="9"/>
  <c r="G11" i="9" s="1"/>
  <c r="I10" i="9"/>
  <c r="J10" i="9" s="1"/>
  <c r="E10" i="9"/>
  <c r="G10" i="9" s="1"/>
  <c r="I9" i="9"/>
  <c r="J9" i="9" s="1"/>
  <c r="E9" i="9"/>
  <c r="G9" i="9" s="1"/>
  <c r="I8" i="9"/>
  <c r="J8" i="9" s="1"/>
  <c r="E8" i="9"/>
  <c r="G8" i="9" s="1"/>
  <c r="I7" i="9"/>
  <c r="J7" i="9" s="1"/>
  <c r="E7" i="9"/>
  <c r="G7" i="9" s="1"/>
  <c r="I6" i="9"/>
  <c r="J6" i="9" s="1"/>
  <c r="E6" i="9"/>
  <c r="G6" i="9" s="1"/>
  <c r="I5" i="9"/>
  <c r="J5" i="9" s="1"/>
  <c r="E5" i="9"/>
  <c r="G5" i="9" s="1"/>
  <c r="I4" i="9"/>
  <c r="J4" i="9" s="1"/>
  <c r="E4" i="9"/>
  <c r="G4" i="9" s="1"/>
  <c r="I3" i="9"/>
  <c r="J3" i="9" s="1"/>
  <c r="E3" i="9"/>
  <c r="G3" i="9" s="1"/>
  <c r="J85" i="32" l="1"/>
  <c r="G85" i="32"/>
  <c r="J121" i="32"/>
  <c r="G121" i="31"/>
  <c r="J85" i="31"/>
  <c r="G85" i="31"/>
  <c r="J121" i="30"/>
  <c r="G121" i="30"/>
  <c r="G85" i="30"/>
  <c r="J85" i="30"/>
  <c r="G121" i="29"/>
  <c r="J85" i="29"/>
  <c r="G85" i="29"/>
  <c r="G85" i="28"/>
  <c r="J121" i="28"/>
  <c r="J85" i="28"/>
  <c r="G121" i="28"/>
  <c r="G121" i="27"/>
  <c r="J85" i="27"/>
  <c r="G85" i="27"/>
  <c r="J121" i="27"/>
  <c r="G121" i="26"/>
  <c r="J85" i="26"/>
  <c r="G85" i="26"/>
  <c r="J121" i="26"/>
  <c r="J85" i="25"/>
  <c r="G85" i="25"/>
  <c r="J121" i="25"/>
  <c r="J85" i="24"/>
  <c r="G85" i="24"/>
  <c r="J121" i="24"/>
  <c r="J85" i="19"/>
  <c r="G121" i="19"/>
  <c r="G85" i="19"/>
  <c r="J121" i="19"/>
  <c r="G85" i="18"/>
  <c r="G121" i="18"/>
  <c r="J85" i="18"/>
  <c r="J121" i="18"/>
  <c r="G121" i="17"/>
  <c r="J121" i="17"/>
  <c r="J85" i="17"/>
  <c r="G85" i="17"/>
  <c r="G121" i="16"/>
  <c r="J85" i="16"/>
  <c r="J121" i="16"/>
  <c r="J85" i="15"/>
  <c r="G85" i="15"/>
  <c r="J121" i="15"/>
  <c r="G121" i="14"/>
  <c r="G85" i="14"/>
  <c r="G85" i="13"/>
  <c r="G121" i="13"/>
  <c r="G121" i="12"/>
  <c r="G85" i="12"/>
  <c r="J85" i="11"/>
  <c r="G85" i="11"/>
  <c r="G121" i="10"/>
  <c r="G85" i="10"/>
  <c r="J85" i="10"/>
  <c r="J121" i="10"/>
  <c r="J85" i="9"/>
  <c r="G85" i="9"/>
  <c r="J124" i="32" l="1"/>
  <c r="J124" i="30"/>
  <c r="J124" i="28"/>
  <c r="J124" i="27"/>
  <c r="J124" i="26"/>
  <c r="J124" i="25"/>
  <c r="J124" i="24"/>
  <c r="J124" i="19"/>
  <c r="J124" i="18"/>
  <c r="J124" i="17"/>
  <c r="J124" i="16"/>
  <c r="J124" i="15"/>
  <c r="J124" i="10"/>
  <c r="I120" i="8"/>
  <c r="J120" i="8" s="1"/>
  <c r="E120" i="8"/>
  <c r="G120" i="8" s="1"/>
  <c r="I119" i="8"/>
  <c r="J119" i="8" s="1"/>
  <c r="E119" i="8"/>
  <c r="G119" i="8" s="1"/>
  <c r="J118" i="8"/>
  <c r="I118" i="8"/>
  <c r="E118" i="8"/>
  <c r="G118" i="8" s="1"/>
  <c r="I117" i="8"/>
  <c r="J117" i="8" s="1"/>
  <c r="E117" i="8"/>
  <c r="G117" i="8" s="1"/>
  <c r="I116" i="8"/>
  <c r="J116" i="8" s="1"/>
  <c r="E116" i="8"/>
  <c r="G116" i="8" s="1"/>
  <c r="I115" i="8"/>
  <c r="J115" i="8" s="1"/>
  <c r="E115" i="8"/>
  <c r="G115" i="8" s="1"/>
  <c r="J114" i="8"/>
  <c r="I114" i="8"/>
  <c r="E114" i="8"/>
  <c r="G114" i="8" s="1"/>
  <c r="I113" i="8"/>
  <c r="J113" i="8" s="1"/>
  <c r="E113" i="8"/>
  <c r="G113" i="8" s="1"/>
  <c r="I112" i="8"/>
  <c r="J112" i="8" s="1"/>
  <c r="E112" i="8"/>
  <c r="G112" i="8" s="1"/>
  <c r="I111" i="8"/>
  <c r="J111" i="8" s="1"/>
  <c r="E111" i="8"/>
  <c r="G111" i="8" s="1"/>
  <c r="J110" i="8"/>
  <c r="I110" i="8"/>
  <c r="E110" i="8"/>
  <c r="G110" i="8" s="1"/>
  <c r="I109" i="8"/>
  <c r="J109" i="8" s="1"/>
  <c r="E109" i="8"/>
  <c r="G109" i="8" s="1"/>
  <c r="I108" i="8"/>
  <c r="J108" i="8" s="1"/>
  <c r="E108" i="8"/>
  <c r="G108" i="8" s="1"/>
  <c r="I107" i="8"/>
  <c r="J107" i="8" s="1"/>
  <c r="E107" i="8"/>
  <c r="G107" i="8" s="1"/>
  <c r="J106" i="8"/>
  <c r="I106" i="8"/>
  <c r="E106" i="8"/>
  <c r="G106" i="8" s="1"/>
  <c r="I105" i="8"/>
  <c r="J105" i="8" s="1"/>
  <c r="E105" i="8"/>
  <c r="G105" i="8" s="1"/>
  <c r="I104" i="8"/>
  <c r="J104" i="8" s="1"/>
  <c r="E104" i="8"/>
  <c r="G104" i="8" s="1"/>
  <c r="I103" i="8"/>
  <c r="J103" i="8" s="1"/>
  <c r="E103" i="8"/>
  <c r="G103" i="8" s="1"/>
  <c r="J102" i="8"/>
  <c r="I102" i="8"/>
  <c r="E102" i="8"/>
  <c r="G102" i="8" s="1"/>
  <c r="I101" i="8"/>
  <c r="J101" i="8" s="1"/>
  <c r="E101" i="8"/>
  <c r="G101" i="8" s="1"/>
  <c r="I100" i="8"/>
  <c r="J100" i="8" s="1"/>
  <c r="E100" i="8"/>
  <c r="G100" i="8" s="1"/>
  <c r="I99" i="8"/>
  <c r="J99" i="8" s="1"/>
  <c r="E99" i="8"/>
  <c r="G99" i="8" s="1"/>
  <c r="J98" i="8"/>
  <c r="I98" i="8"/>
  <c r="E98" i="8"/>
  <c r="G98" i="8" s="1"/>
  <c r="I97" i="8"/>
  <c r="J97" i="8" s="1"/>
  <c r="E97" i="8"/>
  <c r="G97" i="8" s="1"/>
  <c r="I96" i="8"/>
  <c r="J96" i="8" s="1"/>
  <c r="E96" i="8"/>
  <c r="G96" i="8" s="1"/>
  <c r="I95" i="8"/>
  <c r="J95" i="8" s="1"/>
  <c r="E95" i="8"/>
  <c r="G95" i="8" s="1"/>
  <c r="J94" i="8"/>
  <c r="I94" i="8"/>
  <c r="E94" i="8"/>
  <c r="G94" i="8" s="1"/>
  <c r="I93" i="8"/>
  <c r="J93" i="8" s="1"/>
  <c r="E93" i="8"/>
  <c r="G93" i="8" s="1"/>
  <c r="I92" i="8"/>
  <c r="J92" i="8" s="1"/>
  <c r="E92" i="8"/>
  <c r="G92" i="8" s="1"/>
  <c r="I91" i="8"/>
  <c r="J91" i="8" s="1"/>
  <c r="E91" i="8"/>
  <c r="G91" i="8" s="1"/>
  <c r="J90" i="8"/>
  <c r="I90" i="8"/>
  <c r="E90" i="8"/>
  <c r="G90" i="8" s="1"/>
  <c r="I89" i="8"/>
  <c r="J89" i="8" s="1"/>
  <c r="E89" i="8"/>
  <c r="G89" i="8" s="1"/>
  <c r="I83" i="8"/>
  <c r="J83" i="8" s="1"/>
  <c r="E83" i="8"/>
  <c r="G83" i="8" s="1"/>
  <c r="I82" i="8"/>
  <c r="J82" i="8" s="1"/>
  <c r="G82" i="8"/>
  <c r="E82" i="8"/>
  <c r="I81" i="8"/>
  <c r="J81" i="8" s="1"/>
  <c r="E81" i="8"/>
  <c r="G81" i="8" s="1"/>
  <c r="I80" i="8"/>
  <c r="J80" i="8" s="1"/>
  <c r="E80" i="8"/>
  <c r="G80" i="8" s="1"/>
  <c r="I79" i="8"/>
  <c r="J79" i="8" s="1"/>
  <c r="E79" i="8"/>
  <c r="G79" i="8" s="1"/>
  <c r="I78" i="8"/>
  <c r="J78" i="8" s="1"/>
  <c r="G78" i="8"/>
  <c r="E78" i="8"/>
  <c r="I77" i="8"/>
  <c r="J77" i="8" s="1"/>
  <c r="E77" i="8"/>
  <c r="G77" i="8" s="1"/>
  <c r="I76" i="8"/>
  <c r="J76" i="8" s="1"/>
  <c r="E76" i="8"/>
  <c r="G76" i="8" s="1"/>
  <c r="I75" i="8"/>
  <c r="J75" i="8" s="1"/>
  <c r="E75" i="8"/>
  <c r="G75" i="8" s="1"/>
  <c r="I74" i="8"/>
  <c r="J74" i="8" s="1"/>
  <c r="G74" i="8"/>
  <c r="E74" i="8"/>
  <c r="I73" i="8"/>
  <c r="J73" i="8" s="1"/>
  <c r="E73" i="8"/>
  <c r="G73" i="8" s="1"/>
  <c r="I72" i="8"/>
  <c r="J72" i="8" s="1"/>
  <c r="E72" i="8"/>
  <c r="G72" i="8" s="1"/>
  <c r="I71" i="8"/>
  <c r="J71" i="8" s="1"/>
  <c r="E71" i="8"/>
  <c r="G71" i="8" s="1"/>
  <c r="I70" i="8"/>
  <c r="J70" i="8" s="1"/>
  <c r="G70" i="8"/>
  <c r="E70" i="8"/>
  <c r="I69" i="8"/>
  <c r="J69" i="8" s="1"/>
  <c r="E69" i="8"/>
  <c r="G69" i="8" s="1"/>
  <c r="I68" i="8"/>
  <c r="J68" i="8" s="1"/>
  <c r="E68" i="8"/>
  <c r="G68" i="8" s="1"/>
  <c r="I67" i="8"/>
  <c r="J67" i="8" s="1"/>
  <c r="E67" i="8"/>
  <c r="G67" i="8" s="1"/>
  <c r="I66" i="8"/>
  <c r="J66" i="8" s="1"/>
  <c r="G66" i="8"/>
  <c r="E66" i="8"/>
  <c r="I65" i="8"/>
  <c r="J65" i="8" s="1"/>
  <c r="E65" i="8"/>
  <c r="G65" i="8" s="1"/>
  <c r="I64" i="8"/>
  <c r="J64" i="8" s="1"/>
  <c r="E64" i="8"/>
  <c r="G64" i="8" s="1"/>
  <c r="I63" i="8"/>
  <c r="J63" i="8" s="1"/>
  <c r="E63" i="8"/>
  <c r="G63" i="8" s="1"/>
  <c r="I62" i="8"/>
  <c r="J62" i="8" s="1"/>
  <c r="G62" i="8"/>
  <c r="E62" i="8"/>
  <c r="I61" i="8"/>
  <c r="J61" i="8" s="1"/>
  <c r="E61" i="8"/>
  <c r="G61" i="8" s="1"/>
  <c r="I60" i="8"/>
  <c r="J60" i="8" s="1"/>
  <c r="E60" i="8"/>
  <c r="G60" i="8" s="1"/>
  <c r="I59" i="8"/>
  <c r="J59" i="8" s="1"/>
  <c r="G59" i="8"/>
  <c r="E59" i="8"/>
  <c r="I58" i="8"/>
  <c r="J58" i="8" s="1"/>
  <c r="G58" i="8"/>
  <c r="E58" i="8"/>
  <c r="I57" i="8"/>
  <c r="J57" i="8" s="1"/>
  <c r="E57" i="8"/>
  <c r="G57" i="8" s="1"/>
  <c r="I56" i="8"/>
  <c r="J56" i="8" s="1"/>
  <c r="E56" i="8"/>
  <c r="G56" i="8" s="1"/>
  <c r="I55" i="8"/>
  <c r="J55" i="8" s="1"/>
  <c r="G55" i="8"/>
  <c r="E55" i="8"/>
  <c r="I54" i="8"/>
  <c r="J54" i="8" s="1"/>
  <c r="G54" i="8"/>
  <c r="E54" i="8"/>
  <c r="I53" i="8"/>
  <c r="J53" i="8" s="1"/>
  <c r="E53" i="8"/>
  <c r="G53" i="8" s="1"/>
  <c r="I52" i="8"/>
  <c r="J52" i="8" s="1"/>
  <c r="E52" i="8"/>
  <c r="G52" i="8" s="1"/>
  <c r="I51" i="8"/>
  <c r="J51" i="8" s="1"/>
  <c r="G51" i="8"/>
  <c r="E51" i="8"/>
  <c r="I50" i="8"/>
  <c r="J50" i="8" s="1"/>
  <c r="G50" i="8"/>
  <c r="E50" i="8"/>
  <c r="I49" i="8"/>
  <c r="J49" i="8" s="1"/>
  <c r="E49" i="8"/>
  <c r="G49" i="8" s="1"/>
  <c r="I48" i="8"/>
  <c r="J48" i="8" s="1"/>
  <c r="E48" i="8"/>
  <c r="G48" i="8" s="1"/>
  <c r="I47" i="8"/>
  <c r="J47" i="8" s="1"/>
  <c r="G47" i="8"/>
  <c r="E47" i="8"/>
  <c r="I46" i="8"/>
  <c r="J46" i="8" s="1"/>
  <c r="G46" i="8"/>
  <c r="E46" i="8"/>
  <c r="I45" i="8"/>
  <c r="J45" i="8" s="1"/>
  <c r="E45" i="8"/>
  <c r="G45" i="8" s="1"/>
  <c r="I44" i="8"/>
  <c r="J44" i="8" s="1"/>
  <c r="E44" i="8"/>
  <c r="G44" i="8" s="1"/>
  <c r="I43" i="8"/>
  <c r="J43" i="8" s="1"/>
  <c r="G43" i="8"/>
  <c r="E43" i="8"/>
  <c r="I42" i="8"/>
  <c r="J42" i="8" s="1"/>
  <c r="G42" i="8"/>
  <c r="E42" i="8"/>
  <c r="I41" i="8"/>
  <c r="J41" i="8" s="1"/>
  <c r="E41" i="8"/>
  <c r="G41" i="8" s="1"/>
  <c r="I40" i="8"/>
  <c r="J40" i="8" s="1"/>
  <c r="E40" i="8"/>
  <c r="G40" i="8" s="1"/>
  <c r="I39" i="8"/>
  <c r="J39" i="8" s="1"/>
  <c r="G39" i="8"/>
  <c r="E39" i="8"/>
  <c r="I38" i="8"/>
  <c r="J38" i="8" s="1"/>
  <c r="G38" i="8"/>
  <c r="E38" i="8"/>
  <c r="I37" i="8"/>
  <c r="J37" i="8" s="1"/>
  <c r="E37" i="8"/>
  <c r="G37" i="8" s="1"/>
  <c r="I36" i="8"/>
  <c r="J36" i="8" s="1"/>
  <c r="E36" i="8"/>
  <c r="G36" i="8" s="1"/>
  <c r="I35" i="8"/>
  <c r="J35" i="8" s="1"/>
  <c r="G35" i="8"/>
  <c r="E35" i="8"/>
  <c r="I34" i="8"/>
  <c r="J34" i="8" s="1"/>
  <c r="G34" i="8"/>
  <c r="E34" i="8"/>
  <c r="I33" i="8"/>
  <c r="J33" i="8" s="1"/>
  <c r="E33" i="8"/>
  <c r="G33" i="8" s="1"/>
  <c r="I32" i="8"/>
  <c r="J32" i="8" s="1"/>
  <c r="E32" i="8"/>
  <c r="G32" i="8" s="1"/>
  <c r="J31" i="8"/>
  <c r="I31" i="8"/>
  <c r="E31" i="8"/>
  <c r="G31" i="8" s="1"/>
  <c r="J30" i="8"/>
  <c r="I30" i="8"/>
  <c r="E30" i="8"/>
  <c r="G30" i="8" s="1"/>
  <c r="J29" i="8"/>
  <c r="I29" i="8"/>
  <c r="E29" i="8"/>
  <c r="G29" i="8" s="1"/>
  <c r="J28" i="8"/>
  <c r="I28" i="8"/>
  <c r="E28" i="8"/>
  <c r="G28" i="8" s="1"/>
  <c r="J27" i="8"/>
  <c r="I27" i="8"/>
  <c r="E27" i="8"/>
  <c r="G27" i="8" s="1"/>
  <c r="J26" i="8"/>
  <c r="I26" i="8"/>
  <c r="E26" i="8"/>
  <c r="G26" i="8" s="1"/>
  <c r="J25" i="8"/>
  <c r="I25" i="8"/>
  <c r="E25" i="8"/>
  <c r="G25" i="8" s="1"/>
  <c r="J24" i="8"/>
  <c r="I24" i="8"/>
  <c r="E24" i="8"/>
  <c r="G24" i="8" s="1"/>
  <c r="J23" i="8"/>
  <c r="I23" i="8"/>
  <c r="E23" i="8"/>
  <c r="G23" i="8" s="1"/>
  <c r="J22" i="8"/>
  <c r="I22" i="8"/>
  <c r="E22" i="8"/>
  <c r="G22" i="8" s="1"/>
  <c r="J21" i="8"/>
  <c r="I21" i="8"/>
  <c r="E21" i="8"/>
  <c r="G21" i="8" s="1"/>
  <c r="J20" i="8"/>
  <c r="I20" i="8"/>
  <c r="E20" i="8"/>
  <c r="G20" i="8" s="1"/>
  <c r="J19" i="8"/>
  <c r="I19" i="8"/>
  <c r="E19" i="8"/>
  <c r="G19" i="8" s="1"/>
  <c r="J18" i="8"/>
  <c r="I18" i="8"/>
  <c r="E18" i="8"/>
  <c r="G18" i="8" s="1"/>
  <c r="J17" i="8"/>
  <c r="I17" i="8"/>
  <c r="E17" i="8"/>
  <c r="G17" i="8" s="1"/>
  <c r="J16" i="8"/>
  <c r="I16" i="8"/>
  <c r="E16" i="8"/>
  <c r="G16" i="8" s="1"/>
  <c r="J15" i="8"/>
  <c r="I15" i="8"/>
  <c r="E15" i="8"/>
  <c r="G15" i="8" s="1"/>
  <c r="J14" i="8"/>
  <c r="I14" i="8"/>
  <c r="E14" i="8"/>
  <c r="G14" i="8" s="1"/>
  <c r="J13" i="8"/>
  <c r="I13" i="8"/>
  <c r="E13" i="8"/>
  <c r="G13" i="8" s="1"/>
  <c r="J12" i="8"/>
  <c r="I12" i="8"/>
  <c r="E12" i="8"/>
  <c r="G12" i="8" s="1"/>
  <c r="J11" i="8"/>
  <c r="I11" i="8"/>
  <c r="E11" i="8"/>
  <c r="G11" i="8" s="1"/>
  <c r="J10" i="8"/>
  <c r="I10" i="8"/>
  <c r="E10" i="8"/>
  <c r="G10" i="8" s="1"/>
  <c r="J9" i="8"/>
  <c r="I9" i="8"/>
  <c r="E9" i="8"/>
  <c r="G9" i="8" s="1"/>
  <c r="J8" i="8"/>
  <c r="I8" i="8"/>
  <c r="E8" i="8"/>
  <c r="G8" i="8" s="1"/>
  <c r="J7" i="8"/>
  <c r="I7" i="8"/>
  <c r="E7" i="8"/>
  <c r="G7" i="8" s="1"/>
  <c r="J6" i="8"/>
  <c r="I6" i="8"/>
  <c r="E6" i="8"/>
  <c r="G6" i="8" s="1"/>
  <c r="J5" i="8"/>
  <c r="I5" i="8"/>
  <c r="E5" i="8"/>
  <c r="G5" i="8" s="1"/>
  <c r="J4" i="8"/>
  <c r="I4" i="8"/>
  <c r="E4" i="8"/>
  <c r="G4" i="8" s="1"/>
  <c r="J3" i="8"/>
  <c r="J85" i="8" s="1"/>
  <c r="I3" i="8"/>
  <c r="E3" i="8"/>
  <c r="G3" i="8" s="1"/>
  <c r="E90" i="7"/>
  <c r="J120" i="7"/>
  <c r="I120" i="7"/>
  <c r="E120" i="7"/>
  <c r="G120" i="7" s="1"/>
  <c r="J119" i="7"/>
  <c r="I119" i="7"/>
  <c r="E119" i="7"/>
  <c r="G119" i="7" s="1"/>
  <c r="J118" i="7"/>
  <c r="I118" i="7"/>
  <c r="E118" i="7"/>
  <c r="G118" i="7" s="1"/>
  <c r="J117" i="7"/>
  <c r="I117" i="7"/>
  <c r="E117" i="7"/>
  <c r="G117" i="7" s="1"/>
  <c r="J116" i="7"/>
  <c r="I116" i="7"/>
  <c r="E116" i="7"/>
  <c r="G116" i="7" s="1"/>
  <c r="J115" i="7"/>
  <c r="I115" i="7"/>
  <c r="E115" i="7"/>
  <c r="G115" i="7" s="1"/>
  <c r="I114" i="7"/>
  <c r="J114" i="7" s="1"/>
  <c r="E114" i="7"/>
  <c r="G114" i="7" s="1"/>
  <c r="I113" i="7"/>
  <c r="J113" i="7" s="1"/>
  <c r="E113" i="7"/>
  <c r="G113" i="7" s="1"/>
  <c r="I112" i="7"/>
  <c r="J112" i="7" s="1"/>
  <c r="E112" i="7"/>
  <c r="G112" i="7" s="1"/>
  <c r="J111" i="7"/>
  <c r="I111" i="7"/>
  <c r="E111" i="7"/>
  <c r="G111" i="7" s="1"/>
  <c r="I110" i="7"/>
  <c r="J110" i="7" s="1"/>
  <c r="E110" i="7"/>
  <c r="G110" i="7" s="1"/>
  <c r="I109" i="7"/>
  <c r="J109" i="7" s="1"/>
  <c r="E109" i="7"/>
  <c r="G109" i="7" s="1"/>
  <c r="J108" i="7"/>
  <c r="I108" i="7"/>
  <c r="E108" i="7"/>
  <c r="G108" i="7" s="1"/>
  <c r="J107" i="7"/>
  <c r="I107" i="7"/>
  <c r="E107" i="7"/>
  <c r="G107" i="7" s="1"/>
  <c r="I106" i="7"/>
  <c r="J106" i="7" s="1"/>
  <c r="E106" i="7"/>
  <c r="G106" i="7" s="1"/>
  <c r="I105" i="7"/>
  <c r="J105" i="7" s="1"/>
  <c r="E105" i="7"/>
  <c r="G105" i="7" s="1"/>
  <c r="J104" i="7"/>
  <c r="I104" i="7"/>
  <c r="E104" i="7"/>
  <c r="G104" i="7" s="1"/>
  <c r="J103" i="7"/>
  <c r="I103" i="7"/>
  <c r="E103" i="7"/>
  <c r="G103" i="7" s="1"/>
  <c r="I102" i="7"/>
  <c r="J102" i="7" s="1"/>
  <c r="E102" i="7"/>
  <c r="G102" i="7" s="1"/>
  <c r="I101" i="7"/>
  <c r="J101" i="7" s="1"/>
  <c r="E101" i="7"/>
  <c r="G101" i="7" s="1"/>
  <c r="J100" i="7"/>
  <c r="I100" i="7"/>
  <c r="E100" i="7"/>
  <c r="G100" i="7" s="1"/>
  <c r="J99" i="7"/>
  <c r="I99" i="7"/>
  <c r="E99" i="7"/>
  <c r="G99" i="7" s="1"/>
  <c r="I98" i="7"/>
  <c r="J98" i="7" s="1"/>
  <c r="E98" i="7"/>
  <c r="G98" i="7" s="1"/>
  <c r="I97" i="7"/>
  <c r="J97" i="7" s="1"/>
  <c r="E97" i="7"/>
  <c r="G97" i="7" s="1"/>
  <c r="J96" i="7"/>
  <c r="I96" i="7"/>
  <c r="E96" i="7"/>
  <c r="G96" i="7" s="1"/>
  <c r="J95" i="7"/>
  <c r="I95" i="7"/>
  <c r="E95" i="7"/>
  <c r="G95" i="7" s="1"/>
  <c r="I94" i="7"/>
  <c r="J94" i="7" s="1"/>
  <c r="E94" i="7"/>
  <c r="G94" i="7" s="1"/>
  <c r="I93" i="7"/>
  <c r="J93" i="7" s="1"/>
  <c r="E93" i="7"/>
  <c r="G93" i="7" s="1"/>
  <c r="J92" i="7"/>
  <c r="I92" i="7"/>
  <c r="E92" i="7"/>
  <c r="G92" i="7" s="1"/>
  <c r="J91" i="7"/>
  <c r="I91" i="7"/>
  <c r="E91" i="7"/>
  <c r="G91" i="7" s="1"/>
  <c r="I90" i="7"/>
  <c r="J90" i="7" s="1"/>
  <c r="G90" i="7"/>
  <c r="I89" i="7"/>
  <c r="J89" i="7" s="1"/>
  <c r="E89" i="7"/>
  <c r="G89" i="7" s="1"/>
  <c r="I83" i="7"/>
  <c r="J83" i="7" s="1"/>
  <c r="E83" i="7"/>
  <c r="G83" i="7" s="1"/>
  <c r="I82" i="7"/>
  <c r="J82" i="7" s="1"/>
  <c r="E82" i="7"/>
  <c r="G82" i="7" s="1"/>
  <c r="I81" i="7"/>
  <c r="J81" i="7" s="1"/>
  <c r="E81" i="7"/>
  <c r="G81" i="7" s="1"/>
  <c r="I80" i="7"/>
  <c r="J80" i="7" s="1"/>
  <c r="E80" i="7"/>
  <c r="G80" i="7" s="1"/>
  <c r="I79" i="7"/>
  <c r="J79" i="7" s="1"/>
  <c r="E79" i="7"/>
  <c r="G79" i="7" s="1"/>
  <c r="I78" i="7"/>
  <c r="J78" i="7" s="1"/>
  <c r="E78" i="7"/>
  <c r="G78" i="7" s="1"/>
  <c r="I77" i="7"/>
  <c r="J77" i="7" s="1"/>
  <c r="E77" i="7"/>
  <c r="G77" i="7" s="1"/>
  <c r="I76" i="7"/>
  <c r="J76" i="7" s="1"/>
  <c r="E76" i="7"/>
  <c r="G76" i="7" s="1"/>
  <c r="I75" i="7"/>
  <c r="J75" i="7" s="1"/>
  <c r="E75" i="7"/>
  <c r="G75" i="7" s="1"/>
  <c r="I74" i="7"/>
  <c r="J74" i="7" s="1"/>
  <c r="E74" i="7"/>
  <c r="G74" i="7" s="1"/>
  <c r="I73" i="7"/>
  <c r="J73" i="7" s="1"/>
  <c r="E73" i="7"/>
  <c r="G73" i="7" s="1"/>
  <c r="I72" i="7"/>
  <c r="J72" i="7" s="1"/>
  <c r="E72" i="7"/>
  <c r="G72" i="7" s="1"/>
  <c r="I71" i="7"/>
  <c r="J71" i="7" s="1"/>
  <c r="E71" i="7"/>
  <c r="G71" i="7" s="1"/>
  <c r="I70" i="7"/>
  <c r="J70" i="7" s="1"/>
  <c r="E70" i="7"/>
  <c r="G70" i="7" s="1"/>
  <c r="I69" i="7"/>
  <c r="J69" i="7" s="1"/>
  <c r="E69" i="7"/>
  <c r="G69" i="7" s="1"/>
  <c r="I68" i="7"/>
  <c r="J68" i="7" s="1"/>
  <c r="E68" i="7"/>
  <c r="G68" i="7" s="1"/>
  <c r="I67" i="7"/>
  <c r="J67" i="7" s="1"/>
  <c r="E67" i="7"/>
  <c r="G67" i="7" s="1"/>
  <c r="I66" i="7"/>
  <c r="J66" i="7" s="1"/>
  <c r="E66" i="7"/>
  <c r="G66" i="7" s="1"/>
  <c r="I65" i="7"/>
  <c r="J65" i="7" s="1"/>
  <c r="E65" i="7"/>
  <c r="G65" i="7" s="1"/>
  <c r="I64" i="7"/>
  <c r="J64" i="7" s="1"/>
  <c r="E64" i="7"/>
  <c r="G64" i="7" s="1"/>
  <c r="I63" i="7"/>
  <c r="J63" i="7" s="1"/>
  <c r="E63" i="7"/>
  <c r="G63" i="7" s="1"/>
  <c r="I62" i="7"/>
  <c r="J62" i="7" s="1"/>
  <c r="E62" i="7"/>
  <c r="G62" i="7" s="1"/>
  <c r="I61" i="7"/>
  <c r="J61" i="7" s="1"/>
  <c r="E61" i="7"/>
  <c r="G61" i="7" s="1"/>
  <c r="I60" i="7"/>
  <c r="J60" i="7" s="1"/>
  <c r="E60" i="7"/>
  <c r="G60" i="7" s="1"/>
  <c r="I59" i="7"/>
  <c r="J59" i="7" s="1"/>
  <c r="E59" i="7"/>
  <c r="G59" i="7" s="1"/>
  <c r="I58" i="7"/>
  <c r="J58" i="7" s="1"/>
  <c r="E58" i="7"/>
  <c r="G58" i="7" s="1"/>
  <c r="I57" i="7"/>
  <c r="J57" i="7" s="1"/>
  <c r="E57" i="7"/>
  <c r="G57" i="7" s="1"/>
  <c r="I56" i="7"/>
  <c r="J56" i="7" s="1"/>
  <c r="E56" i="7"/>
  <c r="G56" i="7" s="1"/>
  <c r="I55" i="7"/>
  <c r="J55" i="7" s="1"/>
  <c r="E55" i="7"/>
  <c r="G55" i="7" s="1"/>
  <c r="I54" i="7"/>
  <c r="J54" i="7" s="1"/>
  <c r="E54" i="7"/>
  <c r="G54" i="7" s="1"/>
  <c r="I53" i="7"/>
  <c r="J53" i="7" s="1"/>
  <c r="E53" i="7"/>
  <c r="G53" i="7" s="1"/>
  <c r="I52" i="7"/>
  <c r="J52" i="7" s="1"/>
  <c r="E52" i="7"/>
  <c r="G52" i="7" s="1"/>
  <c r="I51" i="7"/>
  <c r="J51" i="7" s="1"/>
  <c r="E51" i="7"/>
  <c r="G51" i="7" s="1"/>
  <c r="I50" i="7"/>
  <c r="J50" i="7" s="1"/>
  <c r="E50" i="7"/>
  <c r="G50" i="7" s="1"/>
  <c r="I49" i="7"/>
  <c r="J49" i="7" s="1"/>
  <c r="E49" i="7"/>
  <c r="G49" i="7" s="1"/>
  <c r="I48" i="7"/>
  <c r="J48" i="7" s="1"/>
  <c r="E48" i="7"/>
  <c r="G48" i="7" s="1"/>
  <c r="I47" i="7"/>
  <c r="J47" i="7" s="1"/>
  <c r="E47" i="7"/>
  <c r="G47" i="7" s="1"/>
  <c r="I46" i="7"/>
  <c r="J46" i="7" s="1"/>
  <c r="E46" i="7"/>
  <c r="G46" i="7" s="1"/>
  <c r="I45" i="7"/>
  <c r="J45" i="7" s="1"/>
  <c r="E45" i="7"/>
  <c r="G45" i="7" s="1"/>
  <c r="I44" i="7"/>
  <c r="J44" i="7" s="1"/>
  <c r="E44" i="7"/>
  <c r="G44" i="7" s="1"/>
  <c r="I43" i="7"/>
  <c r="J43" i="7" s="1"/>
  <c r="E43" i="7"/>
  <c r="G43" i="7" s="1"/>
  <c r="I42" i="7"/>
  <c r="J42" i="7" s="1"/>
  <c r="E42" i="7"/>
  <c r="G42" i="7" s="1"/>
  <c r="I41" i="7"/>
  <c r="J41" i="7" s="1"/>
  <c r="E41" i="7"/>
  <c r="G41" i="7" s="1"/>
  <c r="I40" i="7"/>
  <c r="J40" i="7" s="1"/>
  <c r="E40" i="7"/>
  <c r="G40" i="7" s="1"/>
  <c r="I39" i="7"/>
  <c r="J39" i="7" s="1"/>
  <c r="G39" i="7"/>
  <c r="E39" i="7"/>
  <c r="I38" i="7"/>
  <c r="J38" i="7" s="1"/>
  <c r="E38" i="7"/>
  <c r="G38" i="7" s="1"/>
  <c r="I37" i="7"/>
  <c r="J37" i="7" s="1"/>
  <c r="E37" i="7"/>
  <c r="G37" i="7" s="1"/>
  <c r="I36" i="7"/>
  <c r="J36" i="7" s="1"/>
  <c r="E36" i="7"/>
  <c r="G36" i="7" s="1"/>
  <c r="I35" i="7"/>
  <c r="J35" i="7" s="1"/>
  <c r="E35" i="7"/>
  <c r="G35" i="7" s="1"/>
  <c r="I34" i="7"/>
  <c r="J34" i="7" s="1"/>
  <c r="E34" i="7"/>
  <c r="G34" i="7" s="1"/>
  <c r="I33" i="7"/>
  <c r="J33" i="7" s="1"/>
  <c r="E33" i="7"/>
  <c r="G33" i="7" s="1"/>
  <c r="I32" i="7"/>
  <c r="J32" i="7" s="1"/>
  <c r="E32" i="7"/>
  <c r="G32" i="7" s="1"/>
  <c r="I31" i="7"/>
  <c r="J31" i="7" s="1"/>
  <c r="E31" i="7"/>
  <c r="G31" i="7" s="1"/>
  <c r="I30" i="7"/>
  <c r="J30" i="7" s="1"/>
  <c r="E30" i="7"/>
  <c r="G30" i="7" s="1"/>
  <c r="I29" i="7"/>
  <c r="J29" i="7" s="1"/>
  <c r="E29" i="7"/>
  <c r="G29" i="7" s="1"/>
  <c r="I28" i="7"/>
  <c r="J28" i="7" s="1"/>
  <c r="E28" i="7"/>
  <c r="G28" i="7" s="1"/>
  <c r="I27" i="7"/>
  <c r="J27" i="7" s="1"/>
  <c r="E27" i="7"/>
  <c r="G27" i="7" s="1"/>
  <c r="I26" i="7"/>
  <c r="J26" i="7" s="1"/>
  <c r="E26" i="7"/>
  <c r="G26" i="7" s="1"/>
  <c r="I25" i="7"/>
  <c r="J25" i="7" s="1"/>
  <c r="E25" i="7"/>
  <c r="G25" i="7" s="1"/>
  <c r="I24" i="7"/>
  <c r="J24" i="7" s="1"/>
  <c r="E24" i="7"/>
  <c r="G24" i="7" s="1"/>
  <c r="I23" i="7"/>
  <c r="J23" i="7" s="1"/>
  <c r="E23" i="7"/>
  <c r="G23" i="7" s="1"/>
  <c r="I22" i="7"/>
  <c r="J22" i="7" s="1"/>
  <c r="E22" i="7"/>
  <c r="G22" i="7" s="1"/>
  <c r="I21" i="7"/>
  <c r="J21" i="7" s="1"/>
  <c r="E21" i="7"/>
  <c r="G21" i="7" s="1"/>
  <c r="I20" i="7"/>
  <c r="J20" i="7" s="1"/>
  <c r="E20" i="7"/>
  <c r="G20" i="7" s="1"/>
  <c r="I19" i="7"/>
  <c r="J19" i="7" s="1"/>
  <c r="E19" i="7"/>
  <c r="G19" i="7" s="1"/>
  <c r="I18" i="7"/>
  <c r="J18" i="7" s="1"/>
  <c r="E18" i="7"/>
  <c r="G18" i="7" s="1"/>
  <c r="I17" i="7"/>
  <c r="J17" i="7" s="1"/>
  <c r="E17" i="7"/>
  <c r="G17" i="7" s="1"/>
  <c r="I16" i="7"/>
  <c r="J16" i="7" s="1"/>
  <c r="E16" i="7"/>
  <c r="G16" i="7" s="1"/>
  <c r="I15" i="7"/>
  <c r="J15" i="7" s="1"/>
  <c r="E15" i="7"/>
  <c r="G15" i="7" s="1"/>
  <c r="I14" i="7"/>
  <c r="J14" i="7" s="1"/>
  <c r="E14" i="7"/>
  <c r="G14" i="7" s="1"/>
  <c r="I13" i="7"/>
  <c r="J13" i="7" s="1"/>
  <c r="E13" i="7"/>
  <c r="G13" i="7" s="1"/>
  <c r="I12" i="7"/>
  <c r="J12" i="7" s="1"/>
  <c r="E12" i="7"/>
  <c r="G12" i="7" s="1"/>
  <c r="I11" i="7"/>
  <c r="J11" i="7" s="1"/>
  <c r="E11" i="7"/>
  <c r="G11" i="7" s="1"/>
  <c r="I10" i="7"/>
  <c r="J10" i="7" s="1"/>
  <c r="E10" i="7"/>
  <c r="G10" i="7" s="1"/>
  <c r="I9" i="7"/>
  <c r="J9" i="7" s="1"/>
  <c r="E9" i="7"/>
  <c r="G9" i="7" s="1"/>
  <c r="I8" i="7"/>
  <c r="J8" i="7" s="1"/>
  <c r="E8" i="7"/>
  <c r="G8" i="7" s="1"/>
  <c r="I7" i="7"/>
  <c r="J7" i="7" s="1"/>
  <c r="E7" i="7"/>
  <c r="G7" i="7" s="1"/>
  <c r="I6" i="7"/>
  <c r="J6" i="7" s="1"/>
  <c r="E6" i="7"/>
  <c r="G6" i="7" s="1"/>
  <c r="I5" i="7"/>
  <c r="J5" i="7" s="1"/>
  <c r="E5" i="7"/>
  <c r="G5" i="7" s="1"/>
  <c r="I4" i="7"/>
  <c r="J4" i="7" s="1"/>
  <c r="E4" i="7"/>
  <c r="G4" i="7" s="1"/>
  <c r="I3" i="7"/>
  <c r="J3" i="7" s="1"/>
  <c r="E3" i="7"/>
  <c r="G3" i="7" s="1"/>
  <c r="J124" i="6"/>
  <c r="J120" i="6"/>
  <c r="I120" i="6"/>
  <c r="E120" i="6"/>
  <c r="G120" i="6" s="1"/>
  <c r="J119" i="6"/>
  <c r="I119" i="6"/>
  <c r="E119" i="6"/>
  <c r="G119" i="6" s="1"/>
  <c r="J118" i="6"/>
  <c r="I118" i="6"/>
  <c r="E118" i="6"/>
  <c r="G118" i="6" s="1"/>
  <c r="J117" i="6"/>
  <c r="I117" i="6"/>
  <c r="E117" i="6"/>
  <c r="G117" i="6" s="1"/>
  <c r="J116" i="6"/>
  <c r="I116" i="6"/>
  <c r="E116" i="6"/>
  <c r="G116" i="6" s="1"/>
  <c r="J115" i="6"/>
  <c r="I115" i="6"/>
  <c r="E115" i="6"/>
  <c r="G115" i="6" s="1"/>
  <c r="J114" i="6"/>
  <c r="I114" i="6"/>
  <c r="E114" i="6"/>
  <c r="G114" i="6" s="1"/>
  <c r="J113" i="6"/>
  <c r="I113" i="6"/>
  <c r="E113" i="6"/>
  <c r="G113" i="6" s="1"/>
  <c r="J112" i="6"/>
  <c r="I112" i="6"/>
  <c r="E112" i="6"/>
  <c r="G112" i="6" s="1"/>
  <c r="J111" i="6"/>
  <c r="I111" i="6"/>
  <c r="E111" i="6"/>
  <c r="G111" i="6" s="1"/>
  <c r="J110" i="6"/>
  <c r="I110" i="6"/>
  <c r="E110" i="6"/>
  <c r="G110" i="6" s="1"/>
  <c r="J109" i="6"/>
  <c r="I109" i="6"/>
  <c r="E109" i="6"/>
  <c r="G109" i="6" s="1"/>
  <c r="J108" i="6"/>
  <c r="I108" i="6"/>
  <c r="E108" i="6"/>
  <c r="G108" i="6" s="1"/>
  <c r="J107" i="6"/>
  <c r="I107" i="6"/>
  <c r="E107" i="6"/>
  <c r="G107" i="6" s="1"/>
  <c r="J106" i="6"/>
  <c r="I106" i="6"/>
  <c r="E106" i="6"/>
  <c r="G106" i="6" s="1"/>
  <c r="J105" i="6"/>
  <c r="I105" i="6"/>
  <c r="E105" i="6"/>
  <c r="G105" i="6" s="1"/>
  <c r="J104" i="6"/>
  <c r="I104" i="6"/>
  <c r="E104" i="6"/>
  <c r="G104" i="6" s="1"/>
  <c r="J103" i="6"/>
  <c r="I103" i="6"/>
  <c r="E103" i="6"/>
  <c r="G103" i="6" s="1"/>
  <c r="J102" i="6"/>
  <c r="I102" i="6"/>
  <c r="E102" i="6"/>
  <c r="G102" i="6" s="1"/>
  <c r="J101" i="6"/>
  <c r="I101" i="6"/>
  <c r="E101" i="6"/>
  <c r="G101" i="6" s="1"/>
  <c r="J100" i="6"/>
  <c r="I100" i="6"/>
  <c r="E100" i="6"/>
  <c r="G100" i="6" s="1"/>
  <c r="J99" i="6"/>
  <c r="I99" i="6"/>
  <c r="E99" i="6"/>
  <c r="G99" i="6" s="1"/>
  <c r="J98" i="6"/>
  <c r="I98" i="6"/>
  <c r="E98" i="6"/>
  <c r="G98" i="6" s="1"/>
  <c r="J97" i="6"/>
  <c r="I97" i="6"/>
  <c r="E97" i="6"/>
  <c r="G97" i="6" s="1"/>
  <c r="J96" i="6"/>
  <c r="I96" i="6"/>
  <c r="E96" i="6"/>
  <c r="G96" i="6" s="1"/>
  <c r="J95" i="6"/>
  <c r="I95" i="6"/>
  <c r="E95" i="6"/>
  <c r="G95" i="6" s="1"/>
  <c r="J94" i="6"/>
  <c r="I94" i="6"/>
  <c r="E94" i="6"/>
  <c r="G94" i="6" s="1"/>
  <c r="J93" i="6"/>
  <c r="I93" i="6"/>
  <c r="E93" i="6"/>
  <c r="G93" i="6" s="1"/>
  <c r="J92" i="6"/>
  <c r="I92" i="6"/>
  <c r="E92" i="6"/>
  <c r="G92" i="6" s="1"/>
  <c r="J91" i="6"/>
  <c r="I91" i="6"/>
  <c r="E91" i="6"/>
  <c r="G91" i="6" s="1"/>
  <c r="J90" i="6"/>
  <c r="I90" i="6"/>
  <c r="E90" i="6"/>
  <c r="G90" i="6" s="1"/>
  <c r="J89" i="6"/>
  <c r="I89" i="6"/>
  <c r="E89" i="6"/>
  <c r="G89" i="6" s="1"/>
  <c r="G121" i="6" s="1"/>
  <c r="I83" i="6"/>
  <c r="J83" i="6" s="1"/>
  <c r="G83" i="6"/>
  <c r="E83" i="6"/>
  <c r="I82" i="6"/>
  <c r="J82" i="6" s="1"/>
  <c r="G82" i="6"/>
  <c r="E82" i="6"/>
  <c r="I81" i="6"/>
  <c r="J81" i="6" s="1"/>
  <c r="G81" i="6"/>
  <c r="E81" i="6"/>
  <c r="I80" i="6"/>
  <c r="J80" i="6" s="1"/>
  <c r="G80" i="6"/>
  <c r="E80" i="6"/>
  <c r="I79" i="6"/>
  <c r="J79" i="6" s="1"/>
  <c r="G79" i="6"/>
  <c r="E79" i="6"/>
  <c r="I78" i="6"/>
  <c r="J78" i="6" s="1"/>
  <c r="G78" i="6"/>
  <c r="E78" i="6"/>
  <c r="I77" i="6"/>
  <c r="J77" i="6" s="1"/>
  <c r="G77" i="6"/>
  <c r="E77" i="6"/>
  <c r="I76" i="6"/>
  <c r="J76" i="6" s="1"/>
  <c r="E76" i="6"/>
  <c r="G76" i="6" s="1"/>
  <c r="I75" i="6"/>
  <c r="J75" i="6" s="1"/>
  <c r="G75" i="6"/>
  <c r="E75" i="6"/>
  <c r="I74" i="6"/>
  <c r="J74" i="6" s="1"/>
  <c r="G74" i="6"/>
  <c r="E74" i="6"/>
  <c r="I73" i="6"/>
  <c r="J73" i="6" s="1"/>
  <c r="G73" i="6"/>
  <c r="E73" i="6"/>
  <c r="I72" i="6"/>
  <c r="J72" i="6" s="1"/>
  <c r="E72" i="6"/>
  <c r="G72" i="6" s="1"/>
  <c r="I71" i="6"/>
  <c r="J71" i="6" s="1"/>
  <c r="G71" i="6"/>
  <c r="E71" i="6"/>
  <c r="I70" i="6"/>
  <c r="J70" i="6" s="1"/>
  <c r="E70" i="6"/>
  <c r="G70" i="6" s="1"/>
  <c r="I69" i="6"/>
  <c r="J69" i="6" s="1"/>
  <c r="G69" i="6"/>
  <c r="E69" i="6"/>
  <c r="I68" i="6"/>
  <c r="J68" i="6" s="1"/>
  <c r="E68" i="6"/>
  <c r="G68" i="6" s="1"/>
  <c r="I67" i="6"/>
  <c r="J67" i="6" s="1"/>
  <c r="E67" i="6"/>
  <c r="G67" i="6" s="1"/>
  <c r="I66" i="6"/>
  <c r="J66" i="6" s="1"/>
  <c r="E66" i="6"/>
  <c r="G66" i="6" s="1"/>
  <c r="I65" i="6"/>
  <c r="J65" i="6" s="1"/>
  <c r="G65" i="6"/>
  <c r="E65" i="6"/>
  <c r="I64" i="6"/>
  <c r="J64" i="6" s="1"/>
  <c r="E64" i="6"/>
  <c r="G64" i="6" s="1"/>
  <c r="I63" i="6"/>
  <c r="J63" i="6" s="1"/>
  <c r="G63" i="6"/>
  <c r="E63" i="6"/>
  <c r="I62" i="6"/>
  <c r="J62" i="6" s="1"/>
  <c r="G62" i="6"/>
  <c r="E62" i="6"/>
  <c r="I61" i="6"/>
  <c r="J61" i="6" s="1"/>
  <c r="E61" i="6"/>
  <c r="G61" i="6" s="1"/>
  <c r="I60" i="6"/>
  <c r="J60" i="6" s="1"/>
  <c r="G60" i="6"/>
  <c r="E60" i="6"/>
  <c r="I59" i="6"/>
  <c r="J59" i="6" s="1"/>
  <c r="E59" i="6"/>
  <c r="G59" i="6" s="1"/>
  <c r="I58" i="6"/>
  <c r="J58" i="6" s="1"/>
  <c r="G58" i="6"/>
  <c r="E58" i="6"/>
  <c r="I57" i="6"/>
  <c r="J57" i="6" s="1"/>
  <c r="G57" i="6"/>
  <c r="E57" i="6"/>
  <c r="I56" i="6"/>
  <c r="J56" i="6" s="1"/>
  <c r="G56" i="6"/>
  <c r="E56" i="6"/>
  <c r="I55" i="6"/>
  <c r="J55" i="6" s="1"/>
  <c r="G55" i="6"/>
  <c r="E55" i="6"/>
  <c r="I54" i="6"/>
  <c r="J54" i="6" s="1"/>
  <c r="E54" i="6"/>
  <c r="G54" i="6" s="1"/>
  <c r="I53" i="6"/>
  <c r="J53" i="6" s="1"/>
  <c r="G53" i="6"/>
  <c r="E53" i="6"/>
  <c r="I52" i="6"/>
  <c r="J52" i="6" s="1"/>
  <c r="E52" i="6"/>
  <c r="G52" i="6" s="1"/>
  <c r="I51" i="6"/>
  <c r="J51" i="6" s="1"/>
  <c r="E51" i="6"/>
  <c r="G51" i="6" s="1"/>
  <c r="I50" i="6"/>
  <c r="J50" i="6" s="1"/>
  <c r="G50" i="6"/>
  <c r="E50" i="6"/>
  <c r="I49" i="6"/>
  <c r="J49" i="6" s="1"/>
  <c r="G49" i="6"/>
  <c r="E49" i="6"/>
  <c r="I48" i="6"/>
  <c r="J48" i="6" s="1"/>
  <c r="E48" i="6"/>
  <c r="G48" i="6" s="1"/>
  <c r="I47" i="6"/>
  <c r="J47" i="6" s="1"/>
  <c r="G47" i="6"/>
  <c r="E47" i="6"/>
  <c r="I46" i="6"/>
  <c r="J46" i="6" s="1"/>
  <c r="G46" i="6"/>
  <c r="E46" i="6"/>
  <c r="I45" i="6"/>
  <c r="J45" i="6" s="1"/>
  <c r="G45" i="6"/>
  <c r="E45" i="6"/>
  <c r="I44" i="6"/>
  <c r="J44" i="6" s="1"/>
  <c r="E44" i="6"/>
  <c r="G44" i="6" s="1"/>
  <c r="I43" i="6"/>
  <c r="J43" i="6" s="1"/>
  <c r="G43" i="6"/>
  <c r="E43" i="6"/>
  <c r="I42" i="6"/>
  <c r="J42" i="6" s="1"/>
  <c r="G42" i="6"/>
  <c r="E42" i="6"/>
  <c r="I41" i="6"/>
  <c r="J41" i="6" s="1"/>
  <c r="G41" i="6"/>
  <c r="E41" i="6"/>
  <c r="I40" i="6"/>
  <c r="J40" i="6" s="1"/>
  <c r="G40" i="6"/>
  <c r="E40" i="6"/>
  <c r="I39" i="6"/>
  <c r="J39" i="6" s="1"/>
  <c r="G39" i="6"/>
  <c r="E39" i="6"/>
  <c r="I38" i="6"/>
  <c r="J38" i="6" s="1"/>
  <c r="G38" i="6"/>
  <c r="E38" i="6"/>
  <c r="I37" i="6"/>
  <c r="J37" i="6" s="1"/>
  <c r="G37" i="6"/>
  <c r="E37" i="6"/>
  <c r="I36" i="6"/>
  <c r="J36" i="6" s="1"/>
  <c r="E36" i="6"/>
  <c r="G36" i="6" s="1"/>
  <c r="I35" i="6"/>
  <c r="J35" i="6" s="1"/>
  <c r="E35" i="6"/>
  <c r="G35" i="6" s="1"/>
  <c r="I34" i="6"/>
  <c r="J34" i="6" s="1"/>
  <c r="G34" i="6"/>
  <c r="E34" i="6"/>
  <c r="J33" i="6"/>
  <c r="I33" i="6"/>
  <c r="G33" i="6"/>
  <c r="E33" i="6"/>
  <c r="J32" i="6"/>
  <c r="I32" i="6"/>
  <c r="G32" i="6"/>
  <c r="E32" i="6"/>
  <c r="J31" i="6"/>
  <c r="I31" i="6"/>
  <c r="G31" i="6"/>
  <c r="E31" i="6"/>
  <c r="J30" i="6"/>
  <c r="I30" i="6"/>
  <c r="G30" i="6"/>
  <c r="E30" i="6"/>
  <c r="J29" i="6"/>
  <c r="I29" i="6"/>
  <c r="E29" i="6"/>
  <c r="G29" i="6" s="1"/>
  <c r="J28" i="6"/>
  <c r="I28" i="6"/>
  <c r="E28" i="6"/>
  <c r="G28" i="6" s="1"/>
  <c r="J27" i="6"/>
  <c r="I27" i="6"/>
  <c r="E27" i="6"/>
  <c r="G27" i="6" s="1"/>
  <c r="J26" i="6"/>
  <c r="I26" i="6"/>
  <c r="E26" i="6"/>
  <c r="G26" i="6" s="1"/>
  <c r="J25" i="6"/>
  <c r="I25" i="6"/>
  <c r="G25" i="6"/>
  <c r="E25" i="6"/>
  <c r="J24" i="6"/>
  <c r="I24" i="6"/>
  <c r="G24" i="6"/>
  <c r="E24" i="6"/>
  <c r="J23" i="6"/>
  <c r="I23" i="6"/>
  <c r="E23" i="6"/>
  <c r="G23" i="6" s="1"/>
  <c r="J22" i="6"/>
  <c r="I22" i="6"/>
  <c r="G22" i="6"/>
  <c r="E22" i="6"/>
  <c r="J21" i="6"/>
  <c r="I21" i="6"/>
  <c r="G21" i="6"/>
  <c r="E21" i="6"/>
  <c r="J20" i="6"/>
  <c r="I20" i="6"/>
  <c r="E20" i="6"/>
  <c r="G20" i="6" s="1"/>
  <c r="J19" i="6"/>
  <c r="I19" i="6"/>
  <c r="E19" i="6"/>
  <c r="G19" i="6" s="1"/>
  <c r="J18" i="6"/>
  <c r="I18" i="6"/>
  <c r="G18" i="6"/>
  <c r="E18" i="6"/>
  <c r="J17" i="6"/>
  <c r="I17" i="6"/>
  <c r="G17" i="6"/>
  <c r="E17" i="6"/>
  <c r="J16" i="6"/>
  <c r="I16" i="6"/>
  <c r="G16" i="6"/>
  <c r="E16" i="6"/>
  <c r="J15" i="6"/>
  <c r="I15" i="6"/>
  <c r="G15" i="6"/>
  <c r="E15" i="6"/>
  <c r="J14" i="6"/>
  <c r="I14" i="6"/>
  <c r="G14" i="6"/>
  <c r="E14" i="6"/>
  <c r="J13" i="6"/>
  <c r="I13" i="6"/>
  <c r="G13" i="6"/>
  <c r="E13" i="6"/>
  <c r="J12" i="6"/>
  <c r="I12" i="6"/>
  <c r="G12" i="6"/>
  <c r="E12" i="6"/>
  <c r="J11" i="6"/>
  <c r="I11" i="6"/>
  <c r="G11" i="6"/>
  <c r="E11" i="6"/>
  <c r="J10" i="6"/>
  <c r="I10" i="6"/>
  <c r="G10" i="6"/>
  <c r="E10" i="6"/>
  <c r="J9" i="6"/>
  <c r="I9" i="6"/>
  <c r="E9" i="6"/>
  <c r="G9" i="6" s="1"/>
  <c r="J8" i="6"/>
  <c r="I8" i="6"/>
  <c r="G8" i="6"/>
  <c r="E8" i="6"/>
  <c r="J7" i="6"/>
  <c r="I7" i="6"/>
  <c r="E7" i="6"/>
  <c r="G7" i="6" s="1"/>
  <c r="J6" i="6"/>
  <c r="I6" i="6"/>
  <c r="G6" i="6"/>
  <c r="E6" i="6"/>
  <c r="J5" i="6"/>
  <c r="I5" i="6"/>
  <c r="G5" i="6"/>
  <c r="E5" i="6"/>
  <c r="J4" i="6"/>
  <c r="I4" i="6"/>
  <c r="E4" i="6"/>
  <c r="G4" i="6" s="1"/>
  <c r="J3" i="6"/>
  <c r="I3" i="6"/>
  <c r="E3" i="6"/>
  <c r="G3" i="6" s="1"/>
  <c r="I120" i="5"/>
  <c r="J120" i="5" s="1"/>
  <c r="E120" i="5"/>
  <c r="G120" i="5" s="1"/>
  <c r="I119" i="5"/>
  <c r="J119" i="5" s="1"/>
  <c r="G119" i="5"/>
  <c r="E119" i="5"/>
  <c r="I118" i="5"/>
  <c r="J118" i="5" s="1"/>
  <c r="E118" i="5"/>
  <c r="G118" i="5" s="1"/>
  <c r="I117" i="5"/>
  <c r="J117" i="5" s="1"/>
  <c r="E117" i="5"/>
  <c r="G117" i="5" s="1"/>
  <c r="I116" i="5"/>
  <c r="J116" i="5" s="1"/>
  <c r="E116" i="5"/>
  <c r="G116" i="5" s="1"/>
  <c r="I115" i="5"/>
  <c r="J115" i="5" s="1"/>
  <c r="E115" i="5"/>
  <c r="G115" i="5" s="1"/>
  <c r="I114" i="5"/>
  <c r="J114" i="5" s="1"/>
  <c r="E114" i="5"/>
  <c r="G114" i="5" s="1"/>
  <c r="I113" i="5"/>
  <c r="J113" i="5" s="1"/>
  <c r="E113" i="5"/>
  <c r="G113" i="5" s="1"/>
  <c r="I112" i="5"/>
  <c r="J112" i="5" s="1"/>
  <c r="E112" i="5"/>
  <c r="G112" i="5" s="1"/>
  <c r="I111" i="5"/>
  <c r="J111" i="5" s="1"/>
  <c r="E111" i="5"/>
  <c r="G111" i="5" s="1"/>
  <c r="I110" i="5"/>
  <c r="J110" i="5" s="1"/>
  <c r="E110" i="5"/>
  <c r="G110" i="5" s="1"/>
  <c r="I109" i="5"/>
  <c r="J109" i="5" s="1"/>
  <c r="E109" i="5"/>
  <c r="G109" i="5" s="1"/>
  <c r="I108" i="5"/>
  <c r="J108" i="5" s="1"/>
  <c r="E108" i="5"/>
  <c r="G108" i="5" s="1"/>
  <c r="I107" i="5"/>
  <c r="J107" i="5" s="1"/>
  <c r="E107" i="5"/>
  <c r="G107" i="5" s="1"/>
  <c r="I106" i="5"/>
  <c r="J106" i="5" s="1"/>
  <c r="E106" i="5"/>
  <c r="G106" i="5" s="1"/>
  <c r="I105" i="5"/>
  <c r="J105" i="5" s="1"/>
  <c r="E105" i="5"/>
  <c r="G105" i="5" s="1"/>
  <c r="I104" i="5"/>
  <c r="J104" i="5" s="1"/>
  <c r="E104" i="5"/>
  <c r="G104" i="5" s="1"/>
  <c r="I103" i="5"/>
  <c r="J103" i="5" s="1"/>
  <c r="E103" i="5"/>
  <c r="G103" i="5" s="1"/>
  <c r="I102" i="5"/>
  <c r="J102" i="5" s="1"/>
  <c r="E102" i="5"/>
  <c r="G102" i="5" s="1"/>
  <c r="I101" i="5"/>
  <c r="J101" i="5" s="1"/>
  <c r="E101" i="5"/>
  <c r="G101" i="5" s="1"/>
  <c r="I100" i="5"/>
  <c r="J100" i="5" s="1"/>
  <c r="E100" i="5"/>
  <c r="G100" i="5" s="1"/>
  <c r="I99" i="5"/>
  <c r="J99" i="5" s="1"/>
  <c r="E99" i="5"/>
  <c r="G99" i="5" s="1"/>
  <c r="I98" i="5"/>
  <c r="J98" i="5" s="1"/>
  <c r="E98" i="5"/>
  <c r="G98" i="5" s="1"/>
  <c r="I97" i="5"/>
  <c r="J97" i="5" s="1"/>
  <c r="E97" i="5"/>
  <c r="G97" i="5" s="1"/>
  <c r="I96" i="5"/>
  <c r="J96" i="5" s="1"/>
  <c r="E96" i="5"/>
  <c r="G96" i="5" s="1"/>
  <c r="I95" i="5"/>
  <c r="J95" i="5" s="1"/>
  <c r="E95" i="5"/>
  <c r="G95" i="5" s="1"/>
  <c r="I94" i="5"/>
  <c r="J94" i="5" s="1"/>
  <c r="E94" i="5"/>
  <c r="G94" i="5" s="1"/>
  <c r="I93" i="5"/>
  <c r="J93" i="5" s="1"/>
  <c r="E93" i="5"/>
  <c r="G93" i="5" s="1"/>
  <c r="I92" i="5"/>
  <c r="J92" i="5" s="1"/>
  <c r="E92" i="5"/>
  <c r="G92" i="5" s="1"/>
  <c r="I91" i="5"/>
  <c r="J91" i="5" s="1"/>
  <c r="E91" i="5"/>
  <c r="G91" i="5" s="1"/>
  <c r="I90" i="5"/>
  <c r="J90" i="5" s="1"/>
  <c r="E90" i="5"/>
  <c r="G90" i="5" s="1"/>
  <c r="I89" i="5"/>
  <c r="J89" i="5" s="1"/>
  <c r="E89" i="5"/>
  <c r="G89" i="5" s="1"/>
  <c r="J83" i="5"/>
  <c r="I83" i="5"/>
  <c r="E83" i="5"/>
  <c r="G83" i="5" s="1"/>
  <c r="J82" i="5"/>
  <c r="I82" i="5"/>
  <c r="E82" i="5"/>
  <c r="G82" i="5" s="1"/>
  <c r="I81" i="5"/>
  <c r="J81" i="5" s="1"/>
  <c r="E81" i="5"/>
  <c r="G81" i="5" s="1"/>
  <c r="I80" i="5"/>
  <c r="J80" i="5" s="1"/>
  <c r="E80" i="5"/>
  <c r="G80" i="5" s="1"/>
  <c r="J79" i="5"/>
  <c r="I79" i="5"/>
  <c r="E79" i="5"/>
  <c r="G79" i="5" s="1"/>
  <c r="J78" i="5"/>
  <c r="I78" i="5"/>
  <c r="E78" i="5"/>
  <c r="G78" i="5" s="1"/>
  <c r="I77" i="5"/>
  <c r="J77" i="5" s="1"/>
  <c r="E77" i="5"/>
  <c r="G77" i="5" s="1"/>
  <c r="I76" i="5"/>
  <c r="J76" i="5" s="1"/>
  <c r="E76" i="5"/>
  <c r="G76" i="5" s="1"/>
  <c r="J75" i="5"/>
  <c r="I75" i="5"/>
  <c r="E75" i="5"/>
  <c r="G75" i="5" s="1"/>
  <c r="J74" i="5"/>
  <c r="I74" i="5"/>
  <c r="E74" i="5"/>
  <c r="G74" i="5" s="1"/>
  <c r="I73" i="5"/>
  <c r="J73" i="5" s="1"/>
  <c r="E73" i="5"/>
  <c r="G73" i="5" s="1"/>
  <c r="I72" i="5"/>
  <c r="J72" i="5" s="1"/>
  <c r="E72" i="5"/>
  <c r="G72" i="5" s="1"/>
  <c r="J71" i="5"/>
  <c r="I71" i="5"/>
  <c r="E71" i="5"/>
  <c r="G71" i="5" s="1"/>
  <c r="J70" i="5"/>
  <c r="I70" i="5"/>
  <c r="E70" i="5"/>
  <c r="G70" i="5" s="1"/>
  <c r="I69" i="5"/>
  <c r="J69" i="5" s="1"/>
  <c r="E69" i="5"/>
  <c r="G69" i="5" s="1"/>
  <c r="I68" i="5"/>
  <c r="J68" i="5" s="1"/>
  <c r="E68" i="5"/>
  <c r="G68" i="5" s="1"/>
  <c r="J67" i="5"/>
  <c r="I67" i="5"/>
  <c r="E67" i="5"/>
  <c r="G67" i="5" s="1"/>
  <c r="J66" i="5"/>
  <c r="I66" i="5"/>
  <c r="E66" i="5"/>
  <c r="G66" i="5" s="1"/>
  <c r="I65" i="5"/>
  <c r="J65" i="5" s="1"/>
  <c r="E65" i="5"/>
  <c r="G65" i="5" s="1"/>
  <c r="I64" i="5"/>
  <c r="J64" i="5" s="1"/>
  <c r="E64" i="5"/>
  <c r="G64" i="5" s="1"/>
  <c r="J63" i="5"/>
  <c r="I63" i="5"/>
  <c r="E63" i="5"/>
  <c r="G63" i="5" s="1"/>
  <c r="J62" i="5"/>
  <c r="I62" i="5"/>
  <c r="E62" i="5"/>
  <c r="G62" i="5" s="1"/>
  <c r="I61" i="5"/>
  <c r="J61" i="5" s="1"/>
  <c r="E61" i="5"/>
  <c r="G61" i="5" s="1"/>
  <c r="I60" i="5"/>
  <c r="J60" i="5" s="1"/>
  <c r="E60" i="5"/>
  <c r="G60" i="5" s="1"/>
  <c r="J59" i="5"/>
  <c r="I59" i="5"/>
  <c r="E59" i="5"/>
  <c r="G59" i="5" s="1"/>
  <c r="J58" i="5"/>
  <c r="I58" i="5"/>
  <c r="E58" i="5"/>
  <c r="G58" i="5" s="1"/>
  <c r="I57" i="5"/>
  <c r="J57" i="5" s="1"/>
  <c r="E57" i="5"/>
  <c r="G57" i="5" s="1"/>
  <c r="I56" i="5"/>
  <c r="J56" i="5" s="1"/>
  <c r="E56" i="5"/>
  <c r="G56" i="5" s="1"/>
  <c r="J55" i="5"/>
  <c r="I55" i="5"/>
  <c r="E55" i="5"/>
  <c r="G55" i="5" s="1"/>
  <c r="J54" i="5"/>
  <c r="I54" i="5"/>
  <c r="E54" i="5"/>
  <c r="G54" i="5" s="1"/>
  <c r="I53" i="5"/>
  <c r="J53" i="5" s="1"/>
  <c r="E53" i="5"/>
  <c r="G53" i="5" s="1"/>
  <c r="I52" i="5"/>
  <c r="J52" i="5" s="1"/>
  <c r="E52" i="5"/>
  <c r="G52" i="5" s="1"/>
  <c r="J51" i="5"/>
  <c r="I51" i="5"/>
  <c r="E51" i="5"/>
  <c r="G51" i="5" s="1"/>
  <c r="J50" i="5"/>
  <c r="I50" i="5"/>
  <c r="E50" i="5"/>
  <c r="G50" i="5" s="1"/>
  <c r="I49" i="5"/>
  <c r="J49" i="5" s="1"/>
  <c r="E49" i="5"/>
  <c r="G49" i="5" s="1"/>
  <c r="I48" i="5"/>
  <c r="J48" i="5" s="1"/>
  <c r="E48" i="5"/>
  <c r="G48" i="5" s="1"/>
  <c r="J47" i="5"/>
  <c r="I47" i="5"/>
  <c r="E47" i="5"/>
  <c r="G47" i="5" s="1"/>
  <c r="J46" i="5"/>
  <c r="I46" i="5"/>
  <c r="E46" i="5"/>
  <c r="G46" i="5" s="1"/>
  <c r="I45" i="5"/>
  <c r="J45" i="5" s="1"/>
  <c r="E45" i="5"/>
  <c r="G45" i="5" s="1"/>
  <c r="I44" i="5"/>
  <c r="J44" i="5" s="1"/>
  <c r="E44" i="5"/>
  <c r="G44" i="5" s="1"/>
  <c r="J43" i="5"/>
  <c r="I43" i="5"/>
  <c r="E43" i="5"/>
  <c r="G43" i="5" s="1"/>
  <c r="J42" i="5"/>
  <c r="I42" i="5"/>
  <c r="E42" i="5"/>
  <c r="G42" i="5" s="1"/>
  <c r="I41" i="5"/>
  <c r="J41" i="5" s="1"/>
  <c r="E41" i="5"/>
  <c r="G41" i="5" s="1"/>
  <c r="I40" i="5"/>
  <c r="J40" i="5" s="1"/>
  <c r="E40" i="5"/>
  <c r="G40" i="5" s="1"/>
  <c r="J39" i="5"/>
  <c r="I39" i="5"/>
  <c r="E39" i="5"/>
  <c r="G39" i="5" s="1"/>
  <c r="J38" i="5"/>
  <c r="I38" i="5"/>
  <c r="E38" i="5"/>
  <c r="G38" i="5" s="1"/>
  <c r="I37" i="5"/>
  <c r="J37" i="5" s="1"/>
  <c r="E37" i="5"/>
  <c r="G37" i="5" s="1"/>
  <c r="I36" i="5"/>
  <c r="J36" i="5" s="1"/>
  <c r="E36" i="5"/>
  <c r="G36" i="5" s="1"/>
  <c r="J35" i="5"/>
  <c r="I35" i="5"/>
  <c r="E35" i="5"/>
  <c r="G35" i="5" s="1"/>
  <c r="J34" i="5"/>
  <c r="I34" i="5"/>
  <c r="E34" i="5"/>
  <c r="G34" i="5" s="1"/>
  <c r="I33" i="5"/>
  <c r="J33" i="5" s="1"/>
  <c r="E33" i="5"/>
  <c r="G33" i="5" s="1"/>
  <c r="I32" i="5"/>
  <c r="J32" i="5" s="1"/>
  <c r="E32" i="5"/>
  <c r="G32" i="5" s="1"/>
  <c r="J31" i="5"/>
  <c r="I31" i="5"/>
  <c r="E31" i="5"/>
  <c r="G31" i="5" s="1"/>
  <c r="J30" i="5"/>
  <c r="I30" i="5"/>
  <c r="E30" i="5"/>
  <c r="G30" i="5" s="1"/>
  <c r="I29" i="5"/>
  <c r="J29" i="5" s="1"/>
  <c r="E29" i="5"/>
  <c r="G29" i="5" s="1"/>
  <c r="I28" i="5"/>
  <c r="J28" i="5" s="1"/>
  <c r="E28" i="5"/>
  <c r="G28" i="5" s="1"/>
  <c r="J27" i="5"/>
  <c r="I27" i="5"/>
  <c r="E27" i="5"/>
  <c r="G27" i="5" s="1"/>
  <c r="J26" i="5"/>
  <c r="I26" i="5"/>
  <c r="E26" i="5"/>
  <c r="G26" i="5" s="1"/>
  <c r="I25" i="5"/>
  <c r="J25" i="5" s="1"/>
  <c r="E25" i="5"/>
  <c r="G25" i="5" s="1"/>
  <c r="I24" i="5"/>
  <c r="J24" i="5" s="1"/>
  <c r="E24" i="5"/>
  <c r="G24" i="5" s="1"/>
  <c r="J23" i="5"/>
  <c r="I23" i="5"/>
  <c r="E23" i="5"/>
  <c r="G23" i="5" s="1"/>
  <c r="J22" i="5"/>
  <c r="I22" i="5"/>
  <c r="E22" i="5"/>
  <c r="G22" i="5" s="1"/>
  <c r="I21" i="5"/>
  <c r="J21" i="5" s="1"/>
  <c r="E21" i="5"/>
  <c r="G21" i="5" s="1"/>
  <c r="I20" i="5"/>
  <c r="J20" i="5" s="1"/>
  <c r="E20" i="5"/>
  <c r="G20" i="5" s="1"/>
  <c r="J19" i="5"/>
  <c r="I19" i="5"/>
  <c r="E19" i="5"/>
  <c r="G19" i="5" s="1"/>
  <c r="J18" i="5"/>
  <c r="I18" i="5"/>
  <c r="E18" i="5"/>
  <c r="G18" i="5" s="1"/>
  <c r="I17" i="5"/>
  <c r="J17" i="5" s="1"/>
  <c r="E17" i="5"/>
  <c r="G17" i="5" s="1"/>
  <c r="I16" i="5"/>
  <c r="J16" i="5" s="1"/>
  <c r="E16" i="5"/>
  <c r="G16" i="5" s="1"/>
  <c r="J15" i="5"/>
  <c r="I15" i="5"/>
  <c r="E15" i="5"/>
  <c r="G15" i="5" s="1"/>
  <c r="J14" i="5"/>
  <c r="I14" i="5"/>
  <c r="E14" i="5"/>
  <c r="G14" i="5" s="1"/>
  <c r="I13" i="5"/>
  <c r="J13" i="5" s="1"/>
  <c r="E13" i="5"/>
  <c r="G13" i="5" s="1"/>
  <c r="I12" i="5"/>
  <c r="J12" i="5" s="1"/>
  <c r="E12" i="5"/>
  <c r="G12" i="5" s="1"/>
  <c r="J11" i="5"/>
  <c r="I11" i="5"/>
  <c r="E11" i="5"/>
  <c r="G11" i="5" s="1"/>
  <c r="J10" i="5"/>
  <c r="I10" i="5"/>
  <c r="E10" i="5"/>
  <c r="G10" i="5" s="1"/>
  <c r="I9" i="5"/>
  <c r="J9" i="5" s="1"/>
  <c r="E9" i="5"/>
  <c r="G9" i="5" s="1"/>
  <c r="I8" i="5"/>
  <c r="J8" i="5" s="1"/>
  <c r="E8" i="5"/>
  <c r="G8" i="5" s="1"/>
  <c r="J7" i="5"/>
  <c r="I7" i="5"/>
  <c r="E7" i="5"/>
  <c r="G7" i="5" s="1"/>
  <c r="J6" i="5"/>
  <c r="I6" i="5"/>
  <c r="E6" i="5"/>
  <c r="G6" i="5" s="1"/>
  <c r="I5" i="5"/>
  <c r="J5" i="5" s="1"/>
  <c r="E5" i="5"/>
  <c r="G5" i="5" s="1"/>
  <c r="I4" i="5"/>
  <c r="J4" i="5" s="1"/>
  <c r="E4" i="5"/>
  <c r="G4" i="5" s="1"/>
  <c r="J3" i="5"/>
  <c r="I3" i="5"/>
  <c r="J120" i="4"/>
  <c r="I120" i="4"/>
  <c r="E120" i="4"/>
  <c r="G120" i="4" s="1"/>
  <c r="J119" i="4"/>
  <c r="I119" i="4"/>
  <c r="E119" i="4"/>
  <c r="G119" i="4" s="1"/>
  <c r="J118" i="4"/>
  <c r="I118" i="4"/>
  <c r="E118" i="4"/>
  <c r="G118" i="4" s="1"/>
  <c r="J117" i="4"/>
  <c r="I117" i="4"/>
  <c r="E117" i="4"/>
  <c r="G117" i="4" s="1"/>
  <c r="J116" i="4"/>
  <c r="I116" i="4"/>
  <c r="E116" i="4"/>
  <c r="G116" i="4" s="1"/>
  <c r="J115" i="4"/>
  <c r="I115" i="4"/>
  <c r="E115" i="4"/>
  <c r="G115" i="4" s="1"/>
  <c r="J114" i="4"/>
  <c r="I114" i="4"/>
  <c r="E114" i="4"/>
  <c r="G114" i="4" s="1"/>
  <c r="J113" i="4"/>
  <c r="I113" i="4"/>
  <c r="E113" i="4"/>
  <c r="G113" i="4" s="1"/>
  <c r="J112" i="4"/>
  <c r="I112" i="4"/>
  <c r="E112" i="4"/>
  <c r="G112" i="4" s="1"/>
  <c r="J111" i="4"/>
  <c r="I111" i="4"/>
  <c r="E111" i="4"/>
  <c r="G111" i="4" s="1"/>
  <c r="J110" i="4"/>
  <c r="I110" i="4"/>
  <c r="E110" i="4"/>
  <c r="G110" i="4" s="1"/>
  <c r="J109" i="4"/>
  <c r="I109" i="4"/>
  <c r="E109" i="4"/>
  <c r="G109" i="4" s="1"/>
  <c r="J108" i="4"/>
  <c r="I108" i="4"/>
  <c r="E108" i="4"/>
  <c r="G108" i="4" s="1"/>
  <c r="J107" i="4"/>
  <c r="I107" i="4"/>
  <c r="E107" i="4"/>
  <c r="G107" i="4" s="1"/>
  <c r="J106" i="4"/>
  <c r="I106" i="4"/>
  <c r="E106" i="4"/>
  <c r="G106" i="4" s="1"/>
  <c r="J105" i="4"/>
  <c r="I105" i="4"/>
  <c r="E105" i="4"/>
  <c r="G105" i="4" s="1"/>
  <c r="J104" i="4"/>
  <c r="I104" i="4"/>
  <c r="E104" i="4"/>
  <c r="G104" i="4" s="1"/>
  <c r="J103" i="4"/>
  <c r="I103" i="4"/>
  <c r="E103" i="4"/>
  <c r="G103" i="4" s="1"/>
  <c r="J102" i="4"/>
  <c r="I102" i="4"/>
  <c r="E102" i="4"/>
  <c r="G102" i="4" s="1"/>
  <c r="J101" i="4"/>
  <c r="I101" i="4"/>
  <c r="E101" i="4"/>
  <c r="G101" i="4" s="1"/>
  <c r="J100" i="4"/>
  <c r="I100" i="4"/>
  <c r="E100" i="4"/>
  <c r="G100" i="4" s="1"/>
  <c r="J99" i="4"/>
  <c r="I99" i="4"/>
  <c r="E99" i="4"/>
  <c r="G99" i="4" s="1"/>
  <c r="J98" i="4"/>
  <c r="I98" i="4"/>
  <c r="E98" i="4"/>
  <c r="G98" i="4" s="1"/>
  <c r="J97" i="4"/>
  <c r="I97" i="4"/>
  <c r="E97" i="4"/>
  <c r="G97" i="4" s="1"/>
  <c r="J96" i="4"/>
  <c r="I96" i="4"/>
  <c r="E96" i="4"/>
  <c r="G96" i="4" s="1"/>
  <c r="J95" i="4"/>
  <c r="I95" i="4"/>
  <c r="E95" i="4"/>
  <c r="G95" i="4" s="1"/>
  <c r="J94" i="4"/>
  <c r="I94" i="4"/>
  <c r="E94" i="4"/>
  <c r="G94" i="4" s="1"/>
  <c r="J93" i="4"/>
  <c r="I93" i="4"/>
  <c r="E93" i="4"/>
  <c r="G93" i="4" s="1"/>
  <c r="J92" i="4"/>
  <c r="I92" i="4"/>
  <c r="E92" i="4"/>
  <c r="G92" i="4" s="1"/>
  <c r="J91" i="4"/>
  <c r="I91" i="4"/>
  <c r="E91" i="4"/>
  <c r="G91" i="4" s="1"/>
  <c r="J90" i="4"/>
  <c r="I90" i="4"/>
  <c r="E90" i="4"/>
  <c r="G90" i="4" s="1"/>
  <c r="J89" i="4"/>
  <c r="I89" i="4"/>
  <c r="E89" i="4"/>
  <c r="G89" i="4" s="1"/>
  <c r="J83" i="4"/>
  <c r="I83" i="4"/>
  <c r="E83" i="4"/>
  <c r="G83" i="4" s="1"/>
  <c r="J82" i="4"/>
  <c r="I82" i="4"/>
  <c r="E82" i="4"/>
  <c r="G82" i="4" s="1"/>
  <c r="J81" i="4"/>
  <c r="I81" i="4"/>
  <c r="E81" i="4"/>
  <c r="G81" i="4" s="1"/>
  <c r="J80" i="4"/>
  <c r="I80" i="4"/>
  <c r="E80" i="4"/>
  <c r="G80" i="4" s="1"/>
  <c r="J79" i="4"/>
  <c r="I79" i="4"/>
  <c r="E79" i="4"/>
  <c r="G79" i="4" s="1"/>
  <c r="J78" i="4"/>
  <c r="I78" i="4"/>
  <c r="E78" i="4"/>
  <c r="G78" i="4" s="1"/>
  <c r="J77" i="4"/>
  <c r="I77" i="4"/>
  <c r="E77" i="4"/>
  <c r="G77" i="4" s="1"/>
  <c r="J76" i="4"/>
  <c r="I76" i="4"/>
  <c r="E76" i="4"/>
  <c r="G76" i="4" s="1"/>
  <c r="J75" i="4"/>
  <c r="I75" i="4"/>
  <c r="E75" i="4"/>
  <c r="G75" i="4" s="1"/>
  <c r="J74" i="4"/>
  <c r="I74" i="4"/>
  <c r="E74" i="4"/>
  <c r="G74" i="4" s="1"/>
  <c r="J73" i="4"/>
  <c r="I73" i="4"/>
  <c r="E73" i="4"/>
  <c r="G73" i="4" s="1"/>
  <c r="J72" i="4"/>
  <c r="I72" i="4"/>
  <c r="E72" i="4"/>
  <c r="G72" i="4" s="1"/>
  <c r="J71" i="4"/>
  <c r="I71" i="4"/>
  <c r="E71" i="4"/>
  <c r="G71" i="4" s="1"/>
  <c r="J70" i="4"/>
  <c r="I70" i="4"/>
  <c r="E70" i="4"/>
  <c r="G70" i="4" s="1"/>
  <c r="J69" i="4"/>
  <c r="I69" i="4"/>
  <c r="E69" i="4"/>
  <c r="G69" i="4" s="1"/>
  <c r="J68" i="4"/>
  <c r="I68" i="4"/>
  <c r="E68" i="4"/>
  <c r="G68" i="4" s="1"/>
  <c r="J67" i="4"/>
  <c r="I67" i="4"/>
  <c r="E67" i="4"/>
  <c r="G67" i="4" s="1"/>
  <c r="J66" i="4"/>
  <c r="I66" i="4"/>
  <c r="E66" i="4"/>
  <c r="G66" i="4" s="1"/>
  <c r="J65" i="4"/>
  <c r="I65" i="4"/>
  <c r="E65" i="4"/>
  <c r="G65" i="4" s="1"/>
  <c r="J64" i="4"/>
  <c r="I64" i="4"/>
  <c r="E64" i="4"/>
  <c r="G64" i="4" s="1"/>
  <c r="J63" i="4"/>
  <c r="I63" i="4"/>
  <c r="E63" i="4"/>
  <c r="G63" i="4" s="1"/>
  <c r="J62" i="4"/>
  <c r="I62" i="4"/>
  <c r="E62" i="4"/>
  <c r="G62" i="4" s="1"/>
  <c r="J61" i="4"/>
  <c r="I61" i="4"/>
  <c r="E61" i="4"/>
  <c r="G61" i="4" s="1"/>
  <c r="J60" i="4"/>
  <c r="I60" i="4"/>
  <c r="E60" i="4"/>
  <c r="G60" i="4" s="1"/>
  <c r="J59" i="4"/>
  <c r="I59" i="4"/>
  <c r="E59" i="4"/>
  <c r="G59" i="4" s="1"/>
  <c r="J58" i="4"/>
  <c r="I58" i="4"/>
  <c r="E58" i="4"/>
  <c r="G58" i="4" s="1"/>
  <c r="J57" i="4"/>
  <c r="I57" i="4"/>
  <c r="E57" i="4"/>
  <c r="G57" i="4" s="1"/>
  <c r="J56" i="4"/>
  <c r="I56" i="4"/>
  <c r="E56" i="4"/>
  <c r="G56" i="4" s="1"/>
  <c r="J55" i="4"/>
  <c r="I55" i="4"/>
  <c r="E55" i="4"/>
  <c r="G55" i="4" s="1"/>
  <c r="J54" i="4"/>
  <c r="I54" i="4"/>
  <c r="E54" i="4"/>
  <c r="G54" i="4" s="1"/>
  <c r="J53" i="4"/>
  <c r="I53" i="4"/>
  <c r="E53" i="4"/>
  <c r="G53" i="4" s="1"/>
  <c r="J52" i="4"/>
  <c r="I52" i="4"/>
  <c r="E52" i="4"/>
  <c r="G52" i="4" s="1"/>
  <c r="J51" i="4"/>
  <c r="I51" i="4"/>
  <c r="E51" i="4"/>
  <c r="G51" i="4" s="1"/>
  <c r="J50" i="4"/>
  <c r="I50" i="4"/>
  <c r="E50" i="4"/>
  <c r="G50" i="4" s="1"/>
  <c r="J49" i="4"/>
  <c r="I49" i="4"/>
  <c r="E49" i="4"/>
  <c r="G49" i="4" s="1"/>
  <c r="J48" i="4"/>
  <c r="I48" i="4"/>
  <c r="E48" i="4"/>
  <c r="G48" i="4" s="1"/>
  <c r="J47" i="4"/>
  <c r="I47" i="4"/>
  <c r="E47" i="4"/>
  <c r="G47" i="4" s="1"/>
  <c r="J46" i="4"/>
  <c r="I46" i="4"/>
  <c r="E46" i="4"/>
  <c r="G46" i="4" s="1"/>
  <c r="J45" i="4"/>
  <c r="I45" i="4"/>
  <c r="E45" i="4"/>
  <c r="G45" i="4" s="1"/>
  <c r="J44" i="4"/>
  <c r="I44" i="4"/>
  <c r="E44" i="4"/>
  <c r="G44" i="4" s="1"/>
  <c r="J43" i="4"/>
  <c r="I43" i="4"/>
  <c r="E43" i="4"/>
  <c r="G43" i="4" s="1"/>
  <c r="J42" i="4"/>
  <c r="I42" i="4"/>
  <c r="E42" i="4"/>
  <c r="G42" i="4" s="1"/>
  <c r="J41" i="4"/>
  <c r="I41" i="4"/>
  <c r="E41" i="4"/>
  <c r="G41" i="4" s="1"/>
  <c r="J40" i="4"/>
  <c r="I40" i="4"/>
  <c r="E40" i="4"/>
  <c r="G40" i="4" s="1"/>
  <c r="J39" i="4"/>
  <c r="I39" i="4"/>
  <c r="E39" i="4"/>
  <c r="G39" i="4" s="1"/>
  <c r="J38" i="4"/>
  <c r="I38" i="4"/>
  <c r="E38" i="4"/>
  <c r="G38" i="4" s="1"/>
  <c r="J37" i="4"/>
  <c r="I37" i="4"/>
  <c r="E37" i="4"/>
  <c r="G37" i="4" s="1"/>
  <c r="J36" i="4"/>
  <c r="I36" i="4"/>
  <c r="E36" i="4"/>
  <c r="G36" i="4" s="1"/>
  <c r="J35" i="4"/>
  <c r="I35" i="4"/>
  <c r="E35" i="4"/>
  <c r="G35" i="4" s="1"/>
  <c r="J34" i="4"/>
  <c r="I34" i="4"/>
  <c r="E34" i="4"/>
  <c r="G34" i="4" s="1"/>
  <c r="I33" i="4"/>
  <c r="J33" i="4" s="1"/>
  <c r="E33" i="4"/>
  <c r="G33" i="4" s="1"/>
  <c r="J32" i="4"/>
  <c r="I32" i="4"/>
  <c r="E32" i="4"/>
  <c r="G32" i="4" s="1"/>
  <c r="J31" i="4"/>
  <c r="I31" i="4"/>
  <c r="E31" i="4"/>
  <c r="G31" i="4" s="1"/>
  <c r="J30" i="4"/>
  <c r="I30" i="4"/>
  <c r="E30" i="4"/>
  <c r="G30" i="4" s="1"/>
  <c r="J29" i="4"/>
  <c r="I29" i="4"/>
  <c r="E29" i="4"/>
  <c r="G29" i="4" s="1"/>
  <c r="I28" i="4"/>
  <c r="J28" i="4" s="1"/>
  <c r="E28" i="4"/>
  <c r="G28" i="4" s="1"/>
  <c r="J27" i="4"/>
  <c r="I27" i="4"/>
  <c r="E27" i="4"/>
  <c r="G27" i="4" s="1"/>
  <c r="J26" i="4"/>
  <c r="I26" i="4"/>
  <c r="E26" i="4"/>
  <c r="G26" i="4" s="1"/>
  <c r="J25" i="4"/>
  <c r="I25" i="4"/>
  <c r="E25" i="4"/>
  <c r="G25" i="4" s="1"/>
  <c r="J24" i="4"/>
  <c r="I24" i="4"/>
  <c r="E24" i="4"/>
  <c r="G24" i="4" s="1"/>
  <c r="J23" i="4"/>
  <c r="I23" i="4"/>
  <c r="E23" i="4"/>
  <c r="G23" i="4" s="1"/>
  <c r="J22" i="4"/>
  <c r="I22" i="4"/>
  <c r="E22" i="4"/>
  <c r="G22" i="4" s="1"/>
  <c r="J21" i="4"/>
  <c r="I21" i="4"/>
  <c r="E21" i="4"/>
  <c r="G21" i="4" s="1"/>
  <c r="J20" i="4"/>
  <c r="I20" i="4"/>
  <c r="E20" i="4"/>
  <c r="G20" i="4" s="1"/>
  <c r="J19" i="4"/>
  <c r="I19" i="4"/>
  <c r="E19" i="4"/>
  <c r="G19" i="4" s="1"/>
  <c r="J18" i="4"/>
  <c r="I18" i="4"/>
  <c r="E18" i="4"/>
  <c r="G18" i="4" s="1"/>
  <c r="J17" i="4"/>
  <c r="I17" i="4"/>
  <c r="E17" i="4"/>
  <c r="G17" i="4" s="1"/>
  <c r="J16" i="4"/>
  <c r="I16" i="4"/>
  <c r="E16" i="4"/>
  <c r="G16" i="4" s="1"/>
  <c r="J15" i="4"/>
  <c r="I15" i="4"/>
  <c r="E15" i="4"/>
  <c r="G15" i="4" s="1"/>
  <c r="J14" i="4"/>
  <c r="I14" i="4"/>
  <c r="E14" i="4"/>
  <c r="G14" i="4" s="1"/>
  <c r="J13" i="4"/>
  <c r="I13" i="4"/>
  <c r="E13" i="4"/>
  <c r="G13" i="4" s="1"/>
  <c r="J12" i="4"/>
  <c r="I12" i="4"/>
  <c r="E12" i="4"/>
  <c r="G12" i="4" s="1"/>
  <c r="J11" i="4"/>
  <c r="I11" i="4"/>
  <c r="E11" i="4"/>
  <c r="G11" i="4" s="1"/>
  <c r="J10" i="4"/>
  <c r="I10" i="4"/>
  <c r="E10" i="4"/>
  <c r="G10" i="4" s="1"/>
  <c r="J9" i="4"/>
  <c r="I9" i="4"/>
  <c r="E9" i="4"/>
  <c r="G9" i="4" s="1"/>
  <c r="J8" i="4"/>
  <c r="I8" i="4"/>
  <c r="E8" i="4"/>
  <c r="G8" i="4" s="1"/>
  <c r="I7" i="4"/>
  <c r="J7" i="4" s="1"/>
  <c r="E7" i="4"/>
  <c r="G7" i="4" s="1"/>
  <c r="I6" i="4"/>
  <c r="J6" i="4" s="1"/>
  <c r="E6" i="4"/>
  <c r="G6" i="4" s="1"/>
  <c r="J5" i="4"/>
  <c r="I5" i="4"/>
  <c r="E5" i="4"/>
  <c r="G5" i="4" s="1"/>
  <c r="J4" i="4"/>
  <c r="I4" i="4"/>
  <c r="E4" i="4"/>
  <c r="G4" i="4" s="1"/>
  <c r="I3" i="4"/>
  <c r="E3" i="4"/>
  <c r="G3" i="4" s="1"/>
  <c r="E8" i="3"/>
  <c r="J120" i="3"/>
  <c r="I120" i="3"/>
  <c r="E120" i="3"/>
  <c r="G120" i="3" s="1"/>
  <c r="J119" i="3"/>
  <c r="I119" i="3"/>
  <c r="E119" i="3"/>
  <c r="G119" i="3" s="1"/>
  <c r="J118" i="3"/>
  <c r="I118" i="3"/>
  <c r="E118" i="3"/>
  <c r="G118" i="3" s="1"/>
  <c r="J117" i="3"/>
  <c r="I117" i="3"/>
  <c r="E117" i="3"/>
  <c r="G117" i="3" s="1"/>
  <c r="J116" i="3"/>
  <c r="I116" i="3"/>
  <c r="E116" i="3"/>
  <c r="G116" i="3" s="1"/>
  <c r="J115" i="3"/>
  <c r="I115" i="3"/>
  <c r="E115" i="3"/>
  <c r="G115" i="3" s="1"/>
  <c r="J114" i="3"/>
  <c r="I114" i="3"/>
  <c r="E114" i="3"/>
  <c r="G114" i="3" s="1"/>
  <c r="J113" i="3"/>
  <c r="I113" i="3"/>
  <c r="E113" i="3"/>
  <c r="G113" i="3" s="1"/>
  <c r="J112" i="3"/>
  <c r="I112" i="3"/>
  <c r="E112" i="3"/>
  <c r="G112" i="3" s="1"/>
  <c r="J111" i="3"/>
  <c r="I111" i="3"/>
  <c r="E111" i="3"/>
  <c r="G111" i="3" s="1"/>
  <c r="J110" i="3"/>
  <c r="I110" i="3"/>
  <c r="E110" i="3"/>
  <c r="G110" i="3" s="1"/>
  <c r="J109" i="3"/>
  <c r="I109" i="3"/>
  <c r="E109" i="3"/>
  <c r="G109" i="3" s="1"/>
  <c r="J108" i="3"/>
  <c r="I108" i="3"/>
  <c r="E108" i="3"/>
  <c r="G108" i="3" s="1"/>
  <c r="J107" i="3"/>
  <c r="I107" i="3"/>
  <c r="E107" i="3"/>
  <c r="G107" i="3" s="1"/>
  <c r="J106" i="3"/>
  <c r="I106" i="3"/>
  <c r="E106" i="3"/>
  <c r="G106" i="3" s="1"/>
  <c r="J105" i="3"/>
  <c r="I105" i="3"/>
  <c r="E105" i="3"/>
  <c r="G105" i="3" s="1"/>
  <c r="J104" i="3"/>
  <c r="I104" i="3"/>
  <c r="E104" i="3"/>
  <c r="G104" i="3" s="1"/>
  <c r="J103" i="3"/>
  <c r="I103" i="3"/>
  <c r="E103" i="3"/>
  <c r="G103" i="3" s="1"/>
  <c r="J102" i="3"/>
  <c r="I102" i="3"/>
  <c r="E102" i="3"/>
  <c r="G102" i="3" s="1"/>
  <c r="J101" i="3"/>
  <c r="I101" i="3"/>
  <c r="E101" i="3"/>
  <c r="G101" i="3" s="1"/>
  <c r="I100" i="3"/>
  <c r="J100" i="3" s="1"/>
  <c r="E100" i="3"/>
  <c r="G100" i="3" s="1"/>
  <c r="J99" i="3"/>
  <c r="I99" i="3"/>
  <c r="E99" i="3"/>
  <c r="G99" i="3" s="1"/>
  <c r="J98" i="3"/>
  <c r="I98" i="3"/>
  <c r="E98" i="3"/>
  <c r="G98" i="3" s="1"/>
  <c r="J97" i="3"/>
  <c r="I97" i="3"/>
  <c r="E97" i="3"/>
  <c r="G97" i="3" s="1"/>
  <c r="J96" i="3"/>
  <c r="I96" i="3"/>
  <c r="E96" i="3"/>
  <c r="G96" i="3" s="1"/>
  <c r="J95" i="3"/>
  <c r="I95" i="3"/>
  <c r="E95" i="3"/>
  <c r="G95" i="3" s="1"/>
  <c r="J94" i="3"/>
  <c r="I94" i="3"/>
  <c r="E94" i="3"/>
  <c r="G94" i="3" s="1"/>
  <c r="J93" i="3"/>
  <c r="I93" i="3"/>
  <c r="E93" i="3"/>
  <c r="G93" i="3" s="1"/>
  <c r="J92" i="3"/>
  <c r="I92" i="3"/>
  <c r="E92" i="3"/>
  <c r="G92" i="3" s="1"/>
  <c r="J91" i="3"/>
  <c r="I91" i="3"/>
  <c r="E91" i="3"/>
  <c r="G91" i="3" s="1"/>
  <c r="J90" i="3"/>
  <c r="I90" i="3"/>
  <c r="E90" i="3"/>
  <c r="G90" i="3" s="1"/>
  <c r="J89" i="3"/>
  <c r="I89" i="3"/>
  <c r="E89" i="3"/>
  <c r="G89" i="3" s="1"/>
  <c r="I83" i="3"/>
  <c r="J83" i="3" s="1"/>
  <c r="E83" i="3"/>
  <c r="G83" i="3" s="1"/>
  <c r="I82" i="3"/>
  <c r="J82" i="3" s="1"/>
  <c r="E82" i="3"/>
  <c r="G82" i="3" s="1"/>
  <c r="I81" i="3"/>
  <c r="J81" i="3" s="1"/>
  <c r="E81" i="3"/>
  <c r="G81" i="3" s="1"/>
  <c r="I80" i="3"/>
  <c r="J80" i="3" s="1"/>
  <c r="E80" i="3"/>
  <c r="G80" i="3" s="1"/>
  <c r="I79" i="3"/>
  <c r="J79" i="3" s="1"/>
  <c r="E79" i="3"/>
  <c r="G79" i="3" s="1"/>
  <c r="I78" i="3"/>
  <c r="J78" i="3" s="1"/>
  <c r="E78" i="3"/>
  <c r="G78" i="3" s="1"/>
  <c r="I77" i="3"/>
  <c r="J77" i="3" s="1"/>
  <c r="E77" i="3"/>
  <c r="G77" i="3" s="1"/>
  <c r="I76" i="3"/>
  <c r="J76" i="3" s="1"/>
  <c r="E76" i="3"/>
  <c r="G76" i="3" s="1"/>
  <c r="I75" i="3"/>
  <c r="J75" i="3" s="1"/>
  <c r="E75" i="3"/>
  <c r="G75" i="3" s="1"/>
  <c r="I74" i="3"/>
  <c r="J74" i="3" s="1"/>
  <c r="E74" i="3"/>
  <c r="G74" i="3" s="1"/>
  <c r="I73" i="3"/>
  <c r="J73" i="3" s="1"/>
  <c r="E73" i="3"/>
  <c r="G73" i="3" s="1"/>
  <c r="I72" i="3"/>
  <c r="J72" i="3" s="1"/>
  <c r="E72" i="3"/>
  <c r="G72" i="3" s="1"/>
  <c r="I71" i="3"/>
  <c r="J71" i="3" s="1"/>
  <c r="E71" i="3"/>
  <c r="G71" i="3" s="1"/>
  <c r="I70" i="3"/>
  <c r="J70" i="3" s="1"/>
  <c r="E70" i="3"/>
  <c r="G70" i="3" s="1"/>
  <c r="I69" i="3"/>
  <c r="J69" i="3" s="1"/>
  <c r="E69" i="3"/>
  <c r="G69" i="3" s="1"/>
  <c r="I68" i="3"/>
  <c r="J68" i="3" s="1"/>
  <c r="E68" i="3"/>
  <c r="G68" i="3" s="1"/>
  <c r="I67" i="3"/>
  <c r="J67" i="3" s="1"/>
  <c r="E67" i="3"/>
  <c r="G67" i="3" s="1"/>
  <c r="I66" i="3"/>
  <c r="J66" i="3" s="1"/>
  <c r="E66" i="3"/>
  <c r="G66" i="3" s="1"/>
  <c r="I65" i="3"/>
  <c r="J65" i="3" s="1"/>
  <c r="E65" i="3"/>
  <c r="G65" i="3" s="1"/>
  <c r="I64" i="3"/>
  <c r="J64" i="3" s="1"/>
  <c r="E64" i="3"/>
  <c r="G64" i="3" s="1"/>
  <c r="I63" i="3"/>
  <c r="J63" i="3" s="1"/>
  <c r="E63" i="3"/>
  <c r="G63" i="3" s="1"/>
  <c r="I62" i="3"/>
  <c r="J62" i="3" s="1"/>
  <c r="E62" i="3"/>
  <c r="G62" i="3" s="1"/>
  <c r="I61" i="3"/>
  <c r="J61" i="3" s="1"/>
  <c r="E61" i="3"/>
  <c r="G61" i="3" s="1"/>
  <c r="I60" i="3"/>
  <c r="J60" i="3" s="1"/>
  <c r="E60" i="3"/>
  <c r="G60" i="3" s="1"/>
  <c r="I59" i="3"/>
  <c r="J59" i="3" s="1"/>
  <c r="E59" i="3"/>
  <c r="G59" i="3" s="1"/>
  <c r="I58" i="3"/>
  <c r="J58" i="3" s="1"/>
  <c r="E58" i="3"/>
  <c r="G58" i="3" s="1"/>
  <c r="I57" i="3"/>
  <c r="J57" i="3" s="1"/>
  <c r="E57" i="3"/>
  <c r="G57" i="3" s="1"/>
  <c r="I56" i="3"/>
  <c r="J56" i="3" s="1"/>
  <c r="E56" i="3"/>
  <c r="G56" i="3" s="1"/>
  <c r="I55" i="3"/>
  <c r="J55" i="3" s="1"/>
  <c r="E55" i="3"/>
  <c r="G55" i="3" s="1"/>
  <c r="I54" i="3"/>
  <c r="J54" i="3" s="1"/>
  <c r="E54" i="3"/>
  <c r="G54" i="3" s="1"/>
  <c r="I53" i="3"/>
  <c r="J53" i="3" s="1"/>
  <c r="E53" i="3"/>
  <c r="G53" i="3" s="1"/>
  <c r="I52" i="3"/>
  <c r="J52" i="3" s="1"/>
  <c r="E52" i="3"/>
  <c r="G52" i="3" s="1"/>
  <c r="I51" i="3"/>
  <c r="J51" i="3" s="1"/>
  <c r="E51" i="3"/>
  <c r="G51" i="3" s="1"/>
  <c r="I50" i="3"/>
  <c r="J50" i="3" s="1"/>
  <c r="E50" i="3"/>
  <c r="G50" i="3" s="1"/>
  <c r="I49" i="3"/>
  <c r="J49" i="3" s="1"/>
  <c r="E49" i="3"/>
  <c r="G49" i="3" s="1"/>
  <c r="I48" i="3"/>
  <c r="J48" i="3" s="1"/>
  <c r="E48" i="3"/>
  <c r="G48" i="3" s="1"/>
  <c r="I47" i="3"/>
  <c r="J47" i="3" s="1"/>
  <c r="E47" i="3"/>
  <c r="G47" i="3" s="1"/>
  <c r="I46" i="3"/>
  <c r="J46" i="3" s="1"/>
  <c r="E46" i="3"/>
  <c r="G46" i="3" s="1"/>
  <c r="I45" i="3"/>
  <c r="J45" i="3" s="1"/>
  <c r="E45" i="3"/>
  <c r="G45" i="3" s="1"/>
  <c r="I44" i="3"/>
  <c r="J44" i="3" s="1"/>
  <c r="E44" i="3"/>
  <c r="G44" i="3" s="1"/>
  <c r="I43" i="3"/>
  <c r="J43" i="3" s="1"/>
  <c r="E43" i="3"/>
  <c r="G43" i="3" s="1"/>
  <c r="I42" i="3"/>
  <c r="J42" i="3" s="1"/>
  <c r="E42" i="3"/>
  <c r="G42" i="3" s="1"/>
  <c r="I41" i="3"/>
  <c r="J41" i="3" s="1"/>
  <c r="E41" i="3"/>
  <c r="G41" i="3" s="1"/>
  <c r="I40" i="3"/>
  <c r="J40" i="3" s="1"/>
  <c r="E40" i="3"/>
  <c r="G40" i="3" s="1"/>
  <c r="I39" i="3"/>
  <c r="J39" i="3" s="1"/>
  <c r="E39" i="3"/>
  <c r="G39" i="3" s="1"/>
  <c r="I38" i="3"/>
  <c r="J38" i="3" s="1"/>
  <c r="E38" i="3"/>
  <c r="G38" i="3" s="1"/>
  <c r="I37" i="3"/>
  <c r="J37" i="3" s="1"/>
  <c r="E37" i="3"/>
  <c r="G37" i="3" s="1"/>
  <c r="I36" i="3"/>
  <c r="J36" i="3" s="1"/>
  <c r="E36" i="3"/>
  <c r="G36" i="3" s="1"/>
  <c r="I35" i="3"/>
  <c r="J35" i="3" s="1"/>
  <c r="E35" i="3"/>
  <c r="G35" i="3" s="1"/>
  <c r="I34" i="3"/>
  <c r="J34" i="3" s="1"/>
  <c r="E34" i="3"/>
  <c r="G34" i="3" s="1"/>
  <c r="I33" i="3"/>
  <c r="J33" i="3" s="1"/>
  <c r="E33" i="3"/>
  <c r="G33" i="3" s="1"/>
  <c r="I32" i="3"/>
  <c r="J32" i="3" s="1"/>
  <c r="E32" i="3"/>
  <c r="G32" i="3" s="1"/>
  <c r="I31" i="3"/>
  <c r="J31" i="3" s="1"/>
  <c r="E31" i="3"/>
  <c r="G31" i="3" s="1"/>
  <c r="I30" i="3"/>
  <c r="J30" i="3" s="1"/>
  <c r="E30" i="3"/>
  <c r="G30" i="3" s="1"/>
  <c r="I29" i="3"/>
  <c r="J29" i="3" s="1"/>
  <c r="E29" i="3"/>
  <c r="G29" i="3" s="1"/>
  <c r="I28" i="3"/>
  <c r="J28" i="3" s="1"/>
  <c r="E28" i="3"/>
  <c r="G28" i="3" s="1"/>
  <c r="I27" i="3"/>
  <c r="J27" i="3" s="1"/>
  <c r="E27" i="3"/>
  <c r="G27" i="3" s="1"/>
  <c r="I26" i="3"/>
  <c r="J26" i="3" s="1"/>
  <c r="E26" i="3"/>
  <c r="G26" i="3" s="1"/>
  <c r="I25" i="3"/>
  <c r="J25" i="3" s="1"/>
  <c r="E25" i="3"/>
  <c r="G25" i="3" s="1"/>
  <c r="I24" i="3"/>
  <c r="J24" i="3" s="1"/>
  <c r="E24" i="3"/>
  <c r="G24" i="3" s="1"/>
  <c r="I23" i="3"/>
  <c r="J23" i="3" s="1"/>
  <c r="E23" i="3"/>
  <c r="G23" i="3" s="1"/>
  <c r="I22" i="3"/>
  <c r="J22" i="3" s="1"/>
  <c r="E22" i="3"/>
  <c r="G22" i="3" s="1"/>
  <c r="I21" i="3"/>
  <c r="J21" i="3" s="1"/>
  <c r="E21" i="3"/>
  <c r="G21" i="3" s="1"/>
  <c r="I20" i="3"/>
  <c r="J20" i="3" s="1"/>
  <c r="E20" i="3"/>
  <c r="G20" i="3" s="1"/>
  <c r="I19" i="3"/>
  <c r="J19" i="3" s="1"/>
  <c r="E19" i="3"/>
  <c r="G19" i="3" s="1"/>
  <c r="I18" i="3"/>
  <c r="J18" i="3" s="1"/>
  <c r="E18" i="3"/>
  <c r="G18" i="3" s="1"/>
  <c r="I17" i="3"/>
  <c r="J17" i="3" s="1"/>
  <c r="E17" i="3"/>
  <c r="G17" i="3" s="1"/>
  <c r="I16" i="3"/>
  <c r="J16" i="3" s="1"/>
  <c r="E16" i="3"/>
  <c r="G16" i="3" s="1"/>
  <c r="I15" i="3"/>
  <c r="J15" i="3" s="1"/>
  <c r="E15" i="3"/>
  <c r="G15" i="3" s="1"/>
  <c r="I14" i="3"/>
  <c r="J14" i="3" s="1"/>
  <c r="E14" i="3"/>
  <c r="G14" i="3" s="1"/>
  <c r="I13" i="3"/>
  <c r="J13" i="3" s="1"/>
  <c r="E13" i="3"/>
  <c r="G13" i="3" s="1"/>
  <c r="I12" i="3"/>
  <c r="J12" i="3" s="1"/>
  <c r="E12" i="3"/>
  <c r="G12" i="3" s="1"/>
  <c r="I11" i="3"/>
  <c r="J11" i="3" s="1"/>
  <c r="E11" i="3"/>
  <c r="G11" i="3" s="1"/>
  <c r="I10" i="3"/>
  <c r="J10" i="3" s="1"/>
  <c r="E10" i="3"/>
  <c r="G10" i="3" s="1"/>
  <c r="I9" i="3"/>
  <c r="J9" i="3" s="1"/>
  <c r="E9" i="3"/>
  <c r="G9" i="3" s="1"/>
  <c r="I8" i="3"/>
  <c r="J8" i="3" s="1"/>
  <c r="G8" i="3"/>
  <c r="I7" i="3"/>
  <c r="J7" i="3" s="1"/>
  <c r="E7" i="3"/>
  <c r="G7" i="3" s="1"/>
  <c r="I6" i="3"/>
  <c r="J6" i="3" s="1"/>
  <c r="E6" i="3"/>
  <c r="G6" i="3" s="1"/>
  <c r="I5" i="3"/>
  <c r="J5" i="3" s="1"/>
  <c r="E5" i="3"/>
  <c r="G5" i="3" s="1"/>
  <c r="I4" i="3"/>
  <c r="J4" i="3" s="1"/>
  <c r="E4" i="3"/>
  <c r="G4" i="3" s="1"/>
  <c r="I3" i="3"/>
  <c r="J3" i="3" s="1"/>
  <c r="E3" i="3"/>
  <c r="G3" i="3" s="1"/>
  <c r="E66" i="2"/>
  <c r="G66" i="2" s="1"/>
  <c r="E67" i="2"/>
  <c r="E68" i="2"/>
  <c r="G68" i="2" s="1"/>
  <c r="I66" i="2"/>
  <c r="J66" i="2" s="1"/>
  <c r="I67" i="2"/>
  <c r="J67" i="2"/>
  <c r="G67" i="2"/>
  <c r="G69" i="2"/>
  <c r="I3" i="2"/>
  <c r="J3" i="2" s="1"/>
  <c r="J13" i="2"/>
  <c r="J17" i="2"/>
  <c r="J21" i="2"/>
  <c r="J25" i="2"/>
  <c r="J29" i="2"/>
  <c r="J33" i="2"/>
  <c r="J37" i="2"/>
  <c r="J41" i="2"/>
  <c r="J45" i="2"/>
  <c r="J49" i="2"/>
  <c r="J53" i="2"/>
  <c r="J57" i="2"/>
  <c r="J58" i="2"/>
  <c r="J61" i="2"/>
  <c r="J62" i="2"/>
  <c r="J65" i="2"/>
  <c r="J70" i="2"/>
  <c r="J71" i="2"/>
  <c r="J75" i="2"/>
  <c r="J79" i="2"/>
  <c r="J83" i="2"/>
  <c r="I120" i="2"/>
  <c r="J120" i="2" s="1"/>
  <c r="E120" i="2"/>
  <c r="G120" i="2" s="1"/>
  <c r="I119" i="2"/>
  <c r="J119" i="2" s="1"/>
  <c r="E119" i="2"/>
  <c r="G119" i="2" s="1"/>
  <c r="J118" i="2"/>
  <c r="I118" i="2"/>
  <c r="E118" i="2"/>
  <c r="G118" i="2" s="1"/>
  <c r="I117" i="2"/>
  <c r="J117" i="2" s="1"/>
  <c r="E117" i="2"/>
  <c r="G117" i="2" s="1"/>
  <c r="I116" i="2"/>
  <c r="J116" i="2" s="1"/>
  <c r="E116" i="2"/>
  <c r="G116" i="2" s="1"/>
  <c r="I115" i="2"/>
  <c r="J115" i="2" s="1"/>
  <c r="E115" i="2"/>
  <c r="G115" i="2" s="1"/>
  <c r="J114" i="2"/>
  <c r="I114" i="2"/>
  <c r="E114" i="2"/>
  <c r="G114" i="2" s="1"/>
  <c r="I113" i="2"/>
  <c r="J113" i="2" s="1"/>
  <c r="E113" i="2"/>
  <c r="G113" i="2" s="1"/>
  <c r="I112" i="2"/>
  <c r="J112" i="2" s="1"/>
  <c r="E112" i="2"/>
  <c r="G112" i="2" s="1"/>
  <c r="I111" i="2"/>
  <c r="J111" i="2" s="1"/>
  <c r="E111" i="2"/>
  <c r="G111" i="2" s="1"/>
  <c r="J110" i="2"/>
  <c r="I110" i="2"/>
  <c r="E110" i="2"/>
  <c r="G110" i="2" s="1"/>
  <c r="I109" i="2"/>
  <c r="J109" i="2" s="1"/>
  <c r="E109" i="2"/>
  <c r="G109" i="2" s="1"/>
  <c r="I108" i="2"/>
  <c r="J108" i="2" s="1"/>
  <c r="E108" i="2"/>
  <c r="G108" i="2" s="1"/>
  <c r="I107" i="2"/>
  <c r="J107" i="2" s="1"/>
  <c r="E107" i="2"/>
  <c r="G107" i="2" s="1"/>
  <c r="J106" i="2"/>
  <c r="I106" i="2"/>
  <c r="E106" i="2"/>
  <c r="G106" i="2" s="1"/>
  <c r="I105" i="2"/>
  <c r="J105" i="2" s="1"/>
  <c r="E105" i="2"/>
  <c r="G105" i="2" s="1"/>
  <c r="I104" i="2"/>
  <c r="J104" i="2" s="1"/>
  <c r="E104" i="2"/>
  <c r="G104" i="2" s="1"/>
  <c r="I103" i="2"/>
  <c r="J103" i="2" s="1"/>
  <c r="E103" i="2"/>
  <c r="G103" i="2" s="1"/>
  <c r="J102" i="2"/>
  <c r="I102" i="2"/>
  <c r="E102" i="2"/>
  <c r="G102" i="2" s="1"/>
  <c r="I101" i="2"/>
  <c r="J101" i="2" s="1"/>
  <c r="E101" i="2"/>
  <c r="G101" i="2" s="1"/>
  <c r="I100" i="2"/>
  <c r="J100" i="2" s="1"/>
  <c r="E100" i="2"/>
  <c r="G100" i="2" s="1"/>
  <c r="I99" i="2"/>
  <c r="J99" i="2" s="1"/>
  <c r="E99" i="2"/>
  <c r="G99" i="2" s="1"/>
  <c r="J98" i="2"/>
  <c r="I98" i="2"/>
  <c r="E98" i="2"/>
  <c r="G98" i="2" s="1"/>
  <c r="I97" i="2"/>
  <c r="J97" i="2" s="1"/>
  <c r="E97" i="2"/>
  <c r="G97" i="2" s="1"/>
  <c r="I96" i="2"/>
  <c r="J96" i="2" s="1"/>
  <c r="E96" i="2"/>
  <c r="G96" i="2" s="1"/>
  <c r="I95" i="2"/>
  <c r="J95" i="2" s="1"/>
  <c r="E95" i="2"/>
  <c r="G95" i="2" s="1"/>
  <c r="J94" i="2"/>
  <c r="I94" i="2"/>
  <c r="E94" i="2"/>
  <c r="G94" i="2" s="1"/>
  <c r="I93" i="2"/>
  <c r="J93" i="2" s="1"/>
  <c r="E93" i="2"/>
  <c r="G93" i="2" s="1"/>
  <c r="I92" i="2"/>
  <c r="J92" i="2" s="1"/>
  <c r="E92" i="2"/>
  <c r="G92" i="2" s="1"/>
  <c r="I91" i="2"/>
  <c r="J91" i="2" s="1"/>
  <c r="E91" i="2"/>
  <c r="G91" i="2" s="1"/>
  <c r="I90" i="2"/>
  <c r="E90" i="2"/>
  <c r="G90" i="2" s="1"/>
  <c r="I89" i="2"/>
  <c r="J89" i="2" s="1"/>
  <c r="E89" i="2"/>
  <c r="G89" i="2" s="1"/>
  <c r="I83" i="2"/>
  <c r="E83" i="2"/>
  <c r="G83" i="2" s="1"/>
  <c r="I82" i="2"/>
  <c r="J82" i="2" s="1"/>
  <c r="E82" i="2"/>
  <c r="G82" i="2" s="1"/>
  <c r="I81" i="2"/>
  <c r="J81" i="2" s="1"/>
  <c r="E81" i="2"/>
  <c r="G81" i="2" s="1"/>
  <c r="I80" i="2"/>
  <c r="J80" i="2" s="1"/>
  <c r="E80" i="2"/>
  <c r="G80" i="2" s="1"/>
  <c r="I79" i="2"/>
  <c r="E79" i="2"/>
  <c r="G79" i="2" s="1"/>
  <c r="I78" i="2"/>
  <c r="J78" i="2" s="1"/>
  <c r="E78" i="2"/>
  <c r="G78" i="2" s="1"/>
  <c r="I77" i="2"/>
  <c r="J77" i="2" s="1"/>
  <c r="E77" i="2"/>
  <c r="G77" i="2" s="1"/>
  <c r="I76" i="2"/>
  <c r="J76" i="2" s="1"/>
  <c r="E76" i="2"/>
  <c r="G76" i="2" s="1"/>
  <c r="I75" i="2"/>
  <c r="E75" i="2"/>
  <c r="G75" i="2" s="1"/>
  <c r="I74" i="2"/>
  <c r="J74" i="2" s="1"/>
  <c r="E74" i="2"/>
  <c r="G74" i="2" s="1"/>
  <c r="I73" i="2"/>
  <c r="J73" i="2" s="1"/>
  <c r="E73" i="2"/>
  <c r="G73" i="2" s="1"/>
  <c r="I72" i="2"/>
  <c r="J72" i="2" s="1"/>
  <c r="E72" i="2"/>
  <c r="G72" i="2" s="1"/>
  <c r="I71" i="2"/>
  <c r="E71" i="2"/>
  <c r="G71" i="2" s="1"/>
  <c r="I70" i="2"/>
  <c r="E70" i="2"/>
  <c r="G70" i="2" s="1"/>
  <c r="I69" i="2"/>
  <c r="J69" i="2" s="1"/>
  <c r="E69" i="2"/>
  <c r="I68" i="2"/>
  <c r="J68" i="2" s="1"/>
  <c r="I65" i="2"/>
  <c r="E65" i="2"/>
  <c r="G65" i="2" s="1"/>
  <c r="I64" i="2"/>
  <c r="J64" i="2" s="1"/>
  <c r="E64" i="2"/>
  <c r="G64" i="2" s="1"/>
  <c r="I63" i="2"/>
  <c r="J63" i="2" s="1"/>
  <c r="E63" i="2"/>
  <c r="G63" i="2" s="1"/>
  <c r="I62" i="2"/>
  <c r="E62" i="2"/>
  <c r="G62" i="2" s="1"/>
  <c r="I61" i="2"/>
  <c r="E61" i="2"/>
  <c r="G61" i="2" s="1"/>
  <c r="I60" i="2"/>
  <c r="J60" i="2" s="1"/>
  <c r="E60" i="2"/>
  <c r="G60" i="2" s="1"/>
  <c r="I59" i="2"/>
  <c r="J59" i="2" s="1"/>
  <c r="E59" i="2"/>
  <c r="G59" i="2" s="1"/>
  <c r="I58" i="2"/>
  <c r="E58" i="2"/>
  <c r="G58" i="2" s="1"/>
  <c r="I57" i="2"/>
  <c r="E57" i="2"/>
  <c r="G57" i="2" s="1"/>
  <c r="I56" i="2"/>
  <c r="J56" i="2" s="1"/>
  <c r="E56" i="2"/>
  <c r="G56" i="2" s="1"/>
  <c r="I55" i="2"/>
  <c r="J55" i="2" s="1"/>
  <c r="E55" i="2"/>
  <c r="G55" i="2" s="1"/>
  <c r="I54" i="2"/>
  <c r="J54" i="2" s="1"/>
  <c r="E54" i="2"/>
  <c r="G54" i="2" s="1"/>
  <c r="I53" i="2"/>
  <c r="E53" i="2"/>
  <c r="G53" i="2" s="1"/>
  <c r="I52" i="2"/>
  <c r="J52" i="2" s="1"/>
  <c r="G52" i="2"/>
  <c r="E52" i="2"/>
  <c r="I51" i="2"/>
  <c r="J51" i="2" s="1"/>
  <c r="E51" i="2"/>
  <c r="G51" i="2" s="1"/>
  <c r="I50" i="2"/>
  <c r="J50" i="2" s="1"/>
  <c r="E50" i="2"/>
  <c r="G50" i="2" s="1"/>
  <c r="I49" i="2"/>
  <c r="E49" i="2"/>
  <c r="G49" i="2" s="1"/>
  <c r="I48" i="2"/>
  <c r="J48" i="2" s="1"/>
  <c r="E48" i="2"/>
  <c r="G48" i="2" s="1"/>
  <c r="I47" i="2"/>
  <c r="J47" i="2" s="1"/>
  <c r="E47" i="2"/>
  <c r="G47" i="2" s="1"/>
  <c r="I46" i="2"/>
  <c r="J46" i="2" s="1"/>
  <c r="E46" i="2"/>
  <c r="G46" i="2" s="1"/>
  <c r="I45" i="2"/>
  <c r="E45" i="2"/>
  <c r="G45" i="2" s="1"/>
  <c r="I44" i="2"/>
  <c r="J44" i="2" s="1"/>
  <c r="E44" i="2"/>
  <c r="G44" i="2" s="1"/>
  <c r="I43" i="2"/>
  <c r="J43" i="2" s="1"/>
  <c r="E43" i="2"/>
  <c r="G43" i="2" s="1"/>
  <c r="I42" i="2"/>
  <c r="J42" i="2" s="1"/>
  <c r="E42" i="2"/>
  <c r="G42" i="2" s="1"/>
  <c r="I41" i="2"/>
  <c r="E41" i="2"/>
  <c r="G41" i="2" s="1"/>
  <c r="I40" i="2"/>
  <c r="J40" i="2" s="1"/>
  <c r="E40" i="2"/>
  <c r="G40" i="2" s="1"/>
  <c r="I39" i="2"/>
  <c r="J39" i="2" s="1"/>
  <c r="E39" i="2"/>
  <c r="G39" i="2" s="1"/>
  <c r="I38" i="2"/>
  <c r="J38" i="2" s="1"/>
  <c r="E38" i="2"/>
  <c r="G38" i="2" s="1"/>
  <c r="I37" i="2"/>
  <c r="E37" i="2"/>
  <c r="G37" i="2" s="1"/>
  <c r="I36" i="2"/>
  <c r="J36" i="2" s="1"/>
  <c r="E36" i="2"/>
  <c r="G36" i="2" s="1"/>
  <c r="I35" i="2"/>
  <c r="J35" i="2" s="1"/>
  <c r="E35" i="2"/>
  <c r="G35" i="2" s="1"/>
  <c r="I34" i="2"/>
  <c r="J34" i="2" s="1"/>
  <c r="E34" i="2"/>
  <c r="G34" i="2" s="1"/>
  <c r="I33" i="2"/>
  <c r="E33" i="2"/>
  <c r="G33" i="2" s="1"/>
  <c r="I32" i="2"/>
  <c r="J32" i="2" s="1"/>
  <c r="E32" i="2"/>
  <c r="G32" i="2" s="1"/>
  <c r="I31" i="2"/>
  <c r="J31" i="2" s="1"/>
  <c r="E31" i="2"/>
  <c r="G31" i="2" s="1"/>
  <c r="I30" i="2"/>
  <c r="J30" i="2" s="1"/>
  <c r="E30" i="2"/>
  <c r="G30" i="2" s="1"/>
  <c r="I29" i="2"/>
  <c r="E29" i="2"/>
  <c r="G29" i="2" s="1"/>
  <c r="I28" i="2"/>
  <c r="J28" i="2" s="1"/>
  <c r="E28" i="2"/>
  <c r="G28" i="2" s="1"/>
  <c r="I27" i="2"/>
  <c r="J27" i="2" s="1"/>
  <c r="E27" i="2"/>
  <c r="G27" i="2" s="1"/>
  <c r="I26" i="2"/>
  <c r="J26" i="2" s="1"/>
  <c r="E26" i="2"/>
  <c r="G26" i="2" s="1"/>
  <c r="I25" i="2"/>
  <c r="E25" i="2"/>
  <c r="G25" i="2" s="1"/>
  <c r="I24" i="2"/>
  <c r="J24" i="2" s="1"/>
  <c r="E24" i="2"/>
  <c r="G24" i="2" s="1"/>
  <c r="I23" i="2"/>
  <c r="J23" i="2" s="1"/>
  <c r="E23" i="2"/>
  <c r="G23" i="2" s="1"/>
  <c r="I22" i="2"/>
  <c r="J22" i="2" s="1"/>
  <c r="E22" i="2"/>
  <c r="G22" i="2" s="1"/>
  <c r="I21" i="2"/>
  <c r="E21" i="2"/>
  <c r="G21" i="2" s="1"/>
  <c r="I20" i="2"/>
  <c r="J20" i="2" s="1"/>
  <c r="E20" i="2"/>
  <c r="G20" i="2" s="1"/>
  <c r="I19" i="2"/>
  <c r="J19" i="2" s="1"/>
  <c r="E19" i="2"/>
  <c r="G19" i="2" s="1"/>
  <c r="I18" i="2"/>
  <c r="J18" i="2" s="1"/>
  <c r="E18" i="2"/>
  <c r="G18" i="2" s="1"/>
  <c r="I17" i="2"/>
  <c r="E17" i="2"/>
  <c r="G17" i="2" s="1"/>
  <c r="I16" i="2"/>
  <c r="J16" i="2" s="1"/>
  <c r="E16" i="2"/>
  <c r="G16" i="2" s="1"/>
  <c r="I15" i="2"/>
  <c r="J15" i="2" s="1"/>
  <c r="E15" i="2"/>
  <c r="G15" i="2" s="1"/>
  <c r="I14" i="2"/>
  <c r="J14" i="2" s="1"/>
  <c r="E14" i="2"/>
  <c r="G14" i="2" s="1"/>
  <c r="I13" i="2"/>
  <c r="E13" i="2"/>
  <c r="G13" i="2" s="1"/>
  <c r="I12" i="2"/>
  <c r="J12" i="2" s="1"/>
  <c r="E12" i="2"/>
  <c r="G12" i="2" s="1"/>
  <c r="I11" i="2"/>
  <c r="J11" i="2" s="1"/>
  <c r="E11" i="2"/>
  <c r="G11" i="2" s="1"/>
  <c r="I10" i="2"/>
  <c r="J10" i="2" s="1"/>
  <c r="E10" i="2"/>
  <c r="G10" i="2" s="1"/>
  <c r="I9" i="2"/>
  <c r="J9" i="2" s="1"/>
  <c r="E9" i="2"/>
  <c r="G9" i="2" s="1"/>
  <c r="I8" i="2"/>
  <c r="J8" i="2" s="1"/>
  <c r="E8" i="2"/>
  <c r="G8" i="2" s="1"/>
  <c r="I7" i="2"/>
  <c r="J7" i="2" s="1"/>
  <c r="E7" i="2"/>
  <c r="G7" i="2" s="1"/>
  <c r="I6" i="2"/>
  <c r="J6" i="2" s="1"/>
  <c r="E6" i="2"/>
  <c r="G6" i="2" s="1"/>
  <c r="I5" i="2"/>
  <c r="J5" i="2" s="1"/>
  <c r="E5" i="2"/>
  <c r="G5" i="2" s="1"/>
  <c r="I4" i="2"/>
  <c r="J4" i="2" s="1"/>
  <c r="E4" i="2"/>
  <c r="G4" i="2" s="1"/>
  <c r="E3" i="2"/>
  <c r="G3" i="2" s="1"/>
  <c r="J123" i="1"/>
  <c r="E23" i="1"/>
  <c r="E24" i="1"/>
  <c r="G23" i="1"/>
  <c r="J18" i="1"/>
  <c r="J19" i="1"/>
  <c r="I17" i="1"/>
  <c r="J17" i="1" s="1"/>
  <c r="I18" i="1"/>
  <c r="I19" i="1"/>
  <c r="G18" i="1"/>
  <c r="E17" i="1"/>
  <c r="G17" i="1" s="1"/>
  <c r="E18" i="1"/>
  <c r="J73" i="1"/>
  <c r="J74" i="1"/>
  <c r="J75" i="1"/>
  <c r="J77" i="1"/>
  <c r="J78" i="1"/>
  <c r="J79" i="1"/>
  <c r="J81" i="1"/>
  <c r="J82" i="1"/>
  <c r="I72" i="1"/>
  <c r="J72" i="1" s="1"/>
  <c r="I73" i="1"/>
  <c r="I74" i="1"/>
  <c r="I75" i="1"/>
  <c r="I76" i="1"/>
  <c r="J76" i="1" s="1"/>
  <c r="I77" i="1"/>
  <c r="I78" i="1"/>
  <c r="I79" i="1"/>
  <c r="I80" i="1"/>
  <c r="J80" i="1" s="1"/>
  <c r="I81" i="1"/>
  <c r="I82" i="1"/>
  <c r="G72" i="1"/>
  <c r="G74" i="1"/>
  <c r="G76" i="1"/>
  <c r="G77" i="1"/>
  <c r="G78" i="1"/>
  <c r="G80" i="1"/>
  <c r="G81" i="1"/>
  <c r="G82" i="1"/>
  <c r="E72" i="1"/>
  <c r="E73" i="1"/>
  <c r="G73" i="1" s="1"/>
  <c r="E74" i="1"/>
  <c r="E75" i="1"/>
  <c r="G75" i="1" s="1"/>
  <c r="E76" i="1"/>
  <c r="E77" i="1"/>
  <c r="E78" i="1"/>
  <c r="E79" i="1"/>
  <c r="G79" i="1" s="1"/>
  <c r="E80" i="1"/>
  <c r="E81" i="1"/>
  <c r="E82" i="1"/>
  <c r="I119" i="1"/>
  <c r="J119" i="1" s="1"/>
  <c r="E119" i="1"/>
  <c r="G119" i="1" s="1"/>
  <c r="I118" i="1"/>
  <c r="J118" i="1" s="1"/>
  <c r="E118" i="1"/>
  <c r="G118" i="1" s="1"/>
  <c r="J117" i="1"/>
  <c r="I117" i="1"/>
  <c r="E117" i="1"/>
  <c r="G117" i="1" s="1"/>
  <c r="I116" i="1"/>
  <c r="J116" i="1" s="1"/>
  <c r="E116" i="1"/>
  <c r="G116" i="1" s="1"/>
  <c r="I115" i="1"/>
  <c r="J115" i="1" s="1"/>
  <c r="E115" i="1"/>
  <c r="G115" i="1" s="1"/>
  <c r="I114" i="1"/>
  <c r="J114" i="1" s="1"/>
  <c r="E114" i="1"/>
  <c r="G114" i="1" s="1"/>
  <c r="I113" i="1"/>
  <c r="J113" i="1" s="1"/>
  <c r="E113" i="1"/>
  <c r="G113" i="1" s="1"/>
  <c r="I112" i="1"/>
  <c r="J112" i="1" s="1"/>
  <c r="E112" i="1"/>
  <c r="G112" i="1" s="1"/>
  <c r="I111" i="1"/>
  <c r="J111" i="1" s="1"/>
  <c r="E111" i="1"/>
  <c r="G111" i="1" s="1"/>
  <c r="I110" i="1"/>
  <c r="J110" i="1" s="1"/>
  <c r="E110" i="1"/>
  <c r="G110" i="1" s="1"/>
  <c r="I109" i="1"/>
  <c r="J109" i="1" s="1"/>
  <c r="E109" i="1"/>
  <c r="G109" i="1" s="1"/>
  <c r="I108" i="1"/>
  <c r="J108" i="1" s="1"/>
  <c r="E108" i="1"/>
  <c r="G108" i="1" s="1"/>
  <c r="I107" i="1"/>
  <c r="J107" i="1" s="1"/>
  <c r="E107" i="1"/>
  <c r="G107" i="1" s="1"/>
  <c r="I106" i="1"/>
  <c r="J106" i="1" s="1"/>
  <c r="E106" i="1"/>
  <c r="G106" i="1" s="1"/>
  <c r="I105" i="1"/>
  <c r="J105" i="1" s="1"/>
  <c r="E105" i="1"/>
  <c r="G105" i="1" s="1"/>
  <c r="I104" i="1"/>
  <c r="J104" i="1" s="1"/>
  <c r="E104" i="1"/>
  <c r="G104" i="1" s="1"/>
  <c r="I103" i="1"/>
  <c r="J103" i="1" s="1"/>
  <c r="E103" i="1"/>
  <c r="G103" i="1" s="1"/>
  <c r="I102" i="1"/>
  <c r="J102" i="1" s="1"/>
  <c r="E102" i="1"/>
  <c r="G102" i="1" s="1"/>
  <c r="J101" i="1"/>
  <c r="I101" i="1"/>
  <c r="E101" i="1"/>
  <c r="G101" i="1" s="1"/>
  <c r="I100" i="1"/>
  <c r="J100" i="1" s="1"/>
  <c r="E100" i="1"/>
  <c r="G100" i="1" s="1"/>
  <c r="I99" i="1"/>
  <c r="J99" i="1" s="1"/>
  <c r="E99" i="1"/>
  <c r="G99" i="1" s="1"/>
  <c r="I98" i="1"/>
  <c r="J98" i="1" s="1"/>
  <c r="E98" i="1"/>
  <c r="G98" i="1" s="1"/>
  <c r="I97" i="1"/>
  <c r="J97" i="1" s="1"/>
  <c r="E97" i="1"/>
  <c r="G97" i="1" s="1"/>
  <c r="I96" i="1"/>
  <c r="J96" i="1" s="1"/>
  <c r="E96" i="1"/>
  <c r="G96" i="1" s="1"/>
  <c r="I95" i="1"/>
  <c r="J95" i="1" s="1"/>
  <c r="E95" i="1"/>
  <c r="G95" i="1" s="1"/>
  <c r="I94" i="1"/>
  <c r="J94" i="1" s="1"/>
  <c r="E94" i="1"/>
  <c r="G94" i="1" s="1"/>
  <c r="I93" i="1"/>
  <c r="J93" i="1" s="1"/>
  <c r="E93" i="1"/>
  <c r="G93" i="1" s="1"/>
  <c r="I92" i="1"/>
  <c r="J92" i="1" s="1"/>
  <c r="E92" i="1"/>
  <c r="G92" i="1" s="1"/>
  <c r="I91" i="1"/>
  <c r="J91" i="1" s="1"/>
  <c r="E91" i="1"/>
  <c r="G91" i="1" s="1"/>
  <c r="I90" i="1"/>
  <c r="J90" i="1" s="1"/>
  <c r="E90" i="1"/>
  <c r="G90" i="1" s="1"/>
  <c r="J89" i="1"/>
  <c r="I89" i="1"/>
  <c r="E89" i="1"/>
  <c r="G89" i="1" s="1"/>
  <c r="I88" i="1"/>
  <c r="J88" i="1" s="1"/>
  <c r="E88" i="1"/>
  <c r="G88" i="1" s="1"/>
  <c r="I71" i="1"/>
  <c r="J71" i="1" s="1"/>
  <c r="E71" i="1"/>
  <c r="G71" i="1" s="1"/>
  <c r="I70" i="1"/>
  <c r="J70" i="1" s="1"/>
  <c r="G70" i="1"/>
  <c r="E70" i="1"/>
  <c r="I69" i="1"/>
  <c r="J69" i="1" s="1"/>
  <c r="E69" i="1"/>
  <c r="G69" i="1" s="1"/>
  <c r="I68" i="1"/>
  <c r="J68" i="1" s="1"/>
  <c r="E68" i="1"/>
  <c r="G68" i="1" s="1"/>
  <c r="I67" i="1"/>
  <c r="J67" i="1" s="1"/>
  <c r="E67" i="1"/>
  <c r="G67" i="1" s="1"/>
  <c r="I66" i="1"/>
  <c r="J66" i="1" s="1"/>
  <c r="E66" i="1"/>
  <c r="G66" i="1" s="1"/>
  <c r="I65" i="1"/>
  <c r="J65" i="1" s="1"/>
  <c r="E65" i="1"/>
  <c r="G65" i="1" s="1"/>
  <c r="I64" i="1"/>
  <c r="J64" i="1" s="1"/>
  <c r="E64" i="1"/>
  <c r="G64" i="1" s="1"/>
  <c r="I63" i="1"/>
  <c r="J63" i="1" s="1"/>
  <c r="E63" i="1"/>
  <c r="G63" i="1" s="1"/>
  <c r="I62" i="1"/>
  <c r="J62" i="1" s="1"/>
  <c r="E62" i="1"/>
  <c r="G62" i="1" s="1"/>
  <c r="I61" i="1"/>
  <c r="J61" i="1" s="1"/>
  <c r="E61" i="1"/>
  <c r="G61" i="1" s="1"/>
  <c r="I60" i="1"/>
  <c r="J60" i="1" s="1"/>
  <c r="E60" i="1"/>
  <c r="G60" i="1" s="1"/>
  <c r="I59" i="1"/>
  <c r="J59" i="1" s="1"/>
  <c r="E59" i="1"/>
  <c r="G59" i="1" s="1"/>
  <c r="I58" i="1"/>
  <c r="J58" i="1" s="1"/>
  <c r="E58" i="1"/>
  <c r="G58" i="1" s="1"/>
  <c r="I57" i="1"/>
  <c r="J57" i="1" s="1"/>
  <c r="E57" i="1"/>
  <c r="G57" i="1" s="1"/>
  <c r="I56" i="1"/>
  <c r="J56" i="1" s="1"/>
  <c r="E56" i="1"/>
  <c r="G56" i="1" s="1"/>
  <c r="I55" i="1"/>
  <c r="J55" i="1" s="1"/>
  <c r="E55" i="1"/>
  <c r="G55" i="1" s="1"/>
  <c r="I54" i="1"/>
  <c r="J54" i="1" s="1"/>
  <c r="G54" i="1"/>
  <c r="E54" i="1"/>
  <c r="I53" i="1"/>
  <c r="J53" i="1" s="1"/>
  <c r="E53" i="1"/>
  <c r="G53" i="1" s="1"/>
  <c r="I52" i="1"/>
  <c r="J52" i="1" s="1"/>
  <c r="E52" i="1"/>
  <c r="G52" i="1" s="1"/>
  <c r="I51" i="1"/>
  <c r="J51" i="1" s="1"/>
  <c r="E51" i="1"/>
  <c r="G51" i="1" s="1"/>
  <c r="I50" i="1"/>
  <c r="J50" i="1" s="1"/>
  <c r="E50" i="1"/>
  <c r="G50" i="1" s="1"/>
  <c r="I49" i="1"/>
  <c r="J49" i="1" s="1"/>
  <c r="E49" i="1"/>
  <c r="G49" i="1" s="1"/>
  <c r="I48" i="1"/>
  <c r="J48" i="1" s="1"/>
  <c r="E48" i="1"/>
  <c r="G48" i="1" s="1"/>
  <c r="I47" i="1"/>
  <c r="J47" i="1" s="1"/>
  <c r="E47" i="1"/>
  <c r="G47" i="1" s="1"/>
  <c r="I46" i="1"/>
  <c r="J46" i="1" s="1"/>
  <c r="E46" i="1"/>
  <c r="G46" i="1" s="1"/>
  <c r="I45" i="1"/>
  <c r="J45" i="1" s="1"/>
  <c r="E45" i="1"/>
  <c r="G45" i="1" s="1"/>
  <c r="I44" i="1"/>
  <c r="J44" i="1" s="1"/>
  <c r="E44" i="1"/>
  <c r="G44" i="1" s="1"/>
  <c r="I43" i="1"/>
  <c r="J43" i="1" s="1"/>
  <c r="E43" i="1"/>
  <c r="G43" i="1" s="1"/>
  <c r="I42" i="1"/>
  <c r="J42" i="1" s="1"/>
  <c r="E42" i="1"/>
  <c r="G42" i="1" s="1"/>
  <c r="I41" i="1"/>
  <c r="J41" i="1" s="1"/>
  <c r="E41" i="1"/>
  <c r="G41" i="1" s="1"/>
  <c r="I40" i="1"/>
  <c r="J40" i="1" s="1"/>
  <c r="E40" i="1"/>
  <c r="G40" i="1" s="1"/>
  <c r="I39" i="1"/>
  <c r="J39" i="1" s="1"/>
  <c r="E39" i="1"/>
  <c r="G39" i="1" s="1"/>
  <c r="I38" i="1"/>
  <c r="J38" i="1" s="1"/>
  <c r="E38" i="1"/>
  <c r="G38" i="1" s="1"/>
  <c r="I37" i="1"/>
  <c r="J37" i="1" s="1"/>
  <c r="E37" i="1"/>
  <c r="G37" i="1" s="1"/>
  <c r="I36" i="1"/>
  <c r="J36" i="1" s="1"/>
  <c r="E36" i="1"/>
  <c r="G36" i="1" s="1"/>
  <c r="I35" i="1"/>
  <c r="J35" i="1" s="1"/>
  <c r="E35" i="1"/>
  <c r="G35" i="1" s="1"/>
  <c r="I34" i="1"/>
  <c r="J34" i="1" s="1"/>
  <c r="E34" i="1"/>
  <c r="G34" i="1" s="1"/>
  <c r="I33" i="1"/>
  <c r="J33" i="1" s="1"/>
  <c r="E33" i="1"/>
  <c r="G33" i="1" s="1"/>
  <c r="I32" i="1"/>
  <c r="J32" i="1" s="1"/>
  <c r="E32" i="1"/>
  <c r="G32" i="1" s="1"/>
  <c r="I31" i="1"/>
  <c r="J31" i="1" s="1"/>
  <c r="E31" i="1"/>
  <c r="G31" i="1" s="1"/>
  <c r="I30" i="1"/>
  <c r="J30" i="1" s="1"/>
  <c r="G30" i="1"/>
  <c r="E30" i="1"/>
  <c r="I29" i="1"/>
  <c r="J29" i="1" s="1"/>
  <c r="E29" i="1"/>
  <c r="G29" i="1" s="1"/>
  <c r="I28" i="1"/>
  <c r="J28" i="1" s="1"/>
  <c r="E28" i="1"/>
  <c r="G28" i="1" s="1"/>
  <c r="I27" i="1"/>
  <c r="J27" i="1" s="1"/>
  <c r="E27" i="1"/>
  <c r="G27" i="1" s="1"/>
  <c r="I26" i="1"/>
  <c r="J26" i="1" s="1"/>
  <c r="E26" i="1"/>
  <c r="G26" i="1" s="1"/>
  <c r="I25" i="1"/>
  <c r="J25" i="1" s="1"/>
  <c r="E25" i="1"/>
  <c r="G25" i="1" s="1"/>
  <c r="I24" i="1"/>
  <c r="J24" i="1" s="1"/>
  <c r="G24" i="1"/>
  <c r="I23" i="1"/>
  <c r="J23" i="1" s="1"/>
  <c r="I22" i="1"/>
  <c r="J22" i="1" s="1"/>
  <c r="E22" i="1"/>
  <c r="G22" i="1" s="1"/>
  <c r="I21" i="1"/>
  <c r="J21" i="1" s="1"/>
  <c r="E21" i="1"/>
  <c r="G21" i="1" s="1"/>
  <c r="I20" i="1"/>
  <c r="J20" i="1" s="1"/>
  <c r="E20" i="1"/>
  <c r="G20" i="1" s="1"/>
  <c r="E19" i="1"/>
  <c r="G19" i="1" s="1"/>
  <c r="I16" i="1"/>
  <c r="J16" i="1" s="1"/>
  <c r="E16" i="1"/>
  <c r="G16" i="1" s="1"/>
  <c r="I15" i="1"/>
  <c r="J15" i="1" s="1"/>
  <c r="E15" i="1"/>
  <c r="G15" i="1" s="1"/>
  <c r="I14" i="1"/>
  <c r="J14" i="1" s="1"/>
  <c r="E14" i="1"/>
  <c r="G14" i="1" s="1"/>
  <c r="I13" i="1"/>
  <c r="J13" i="1" s="1"/>
  <c r="E13" i="1"/>
  <c r="G13" i="1" s="1"/>
  <c r="I12" i="1"/>
  <c r="J12" i="1" s="1"/>
  <c r="E12" i="1"/>
  <c r="G12" i="1" s="1"/>
  <c r="I11" i="1"/>
  <c r="J11" i="1" s="1"/>
  <c r="E11" i="1"/>
  <c r="G11" i="1" s="1"/>
  <c r="I10" i="1"/>
  <c r="J10" i="1" s="1"/>
  <c r="E10" i="1"/>
  <c r="G10" i="1" s="1"/>
  <c r="I9" i="1"/>
  <c r="J9" i="1" s="1"/>
  <c r="E9" i="1"/>
  <c r="G9" i="1" s="1"/>
  <c r="I8" i="1"/>
  <c r="J8" i="1" s="1"/>
  <c r="E8" i="1"/>
  <c r="G8" i="1" s="1"/>
  <c r="I7" i="1"/>
  <c r="J7" i="1" s="1"/>
  <c r="E7" i="1"/>
  <c r="G7" i="1" s="1"/>
  <c r="I6" i="1"/>
  <c r="J6" i="1" s="1"/>
  <c r="E6" i="1"/>
  <c r="G6" i="1" s="1"/>
  <c r="I5" i="1"/>
  <c r="J5" i="1" s="1"/>
  <c r="E5" i="1"/>
  <c r="G5" i="1" s="1"/>
  <c r="I4" i="1"/>
  <c r="J4" i="1" s="1"/>
  <c r="E4" i="1"/>
  <c r="G4" i="1" s="1"/>
  <c r="I3" i="1"/>
  <c r="J3" i="1" s="1"/>
  <c r="E3" i="1"/>
  <c r="G3" i="1" s="1"/>
  <c r="G85" i="8" l="1"/>
  <c r="J121" i="8"/>
  <c r="J124" i="8" s="1"/>
  <c r="G121" i="8"/>
  <c r="J121" i="7"/>
  <c r="G121" i="7"/>
  <c r="J85" i="7"/>
  <c r="G85" i="7"/>
  <c r="J85" i="6"/>
  <c r="J121" i="6"/>
  <c r="G85" i="6"/>
  <c r="G121" i="5"/>
  <c r="J85" i="5"/>
  <c r="J121" i="5"/>
  <c r="J121" i="4"/>
  <c r="G121" i="4"/>
  <c r="G85" i="4"/>
  <c r="G121" i="3"/>
  <c r="J85" i="3"/>
  <c r="G85" i="3"/>
  <c r="J121" i="3"/>
  <c r="G121" i="2"/>
  <c r="J85" i="2"/>
  <c r="G85" i="2"/>
  <c r="J84" i="1"/>
  <c r="G84" i="1"/>
  <c r="J120" i="1"/>
  <c r="G120" i="1"/>
  <c r="J90" i="2"/>
  <c r="J121" i="2" s="1"/>
  <c r="J124" i="7" l="1"/>
  <c r="J124" i="5"/>
  <c r="J124" i="3"/>
  <c r="J124" i="2"/>
  <c r="J3" i="4"/>
  <c r="J85" i="4" s="1"/>
  <c r="J124" i="4" s="1"/>
  <c r="E3" i="5"/>
  <c r="G3" i="5" s="1"/>
  <c r="G85" i="5" s="1"/>
  <c r="J89" i="9" l="1"/>
  <c r="J121" i="9"/>
  <c r="J124" i="9" s="1"/>
  <c r="J89" i="11"/>
  <c r="J121" i="11" s="1"/>
  <c r="J124" i="11" s="1"/>
  <c r="J3" i="12"/>
  <c r="J85" i="12"/>
  <c r="J89" i="12"/>
  <c r="J121" i="12" s="1"/>
  <c r="J124" i="12" l="1"/>
  <c r="J3" i="13"/>
  <c r="J85" i="13" s="1"/>
  <c r="J89" i="13"/>
  <c r="J121" i="13" s="1"/>
  <c r="J124" i="13" l="1"/>
  <c r="J3" i="14"/>
  <c r="J85" i="14" s="1"/>
  <c r="J89" i="14"/>
  <c r="J121" i="14" s="1"/>
  <c r="J124" i="14" l="1"/>
  <c r="J89" i="29"/>
  <c r="J121" i="29" s="1"/>
  <c r="J124" i="29" s="1"/>
  <c r="J89" i="31"/>
  <c r="J121" i="31" s="1"/>
  <c r="J124" i="31" s="1"/>
</calcChain>
</file>

<file path=xl/sharedStrings.xml><?xml version="1.0" encoding="utf-8"?>
<sst xmlns="http://schemas.openxmlformats.org/spreadsheetml/2006/main" count="3471" uniqueCount="116">
  <si>
    <t>DAPUR</t>
  </si>
  <si>
    <t>NO</t>
  </si>
  <si>
    <t>ITEM</t>
  </si>
  <si>
    <t>STOCK AWAL(Kg)</t>
  </si>
  <si>
    <t>MASUK(Kg)</t>
  </si>
  <si>
    <t>TOTAL(Kg)</t>
  </si>
  <si>
    <t>HARGA/Kg</t>
  </si>
  <si>
    <t>Rp</t>
  </si>
  <si>
    <t>STOCK AKHIR(Kg)</t>
  </si>
  <si>
    <t>Bawang Putih</t>
  </si>
  <si>
    <t>Bawang Merah</t>
  </si>
  <si>
    <t>Bawang Bombay</t>
  </si>
  <si>
    <t>Cabai Rawi/Lalapan</t>
  </si>
  <si>
    <t>Cabai Merah</t>
  </si>
  <si>
    <t>Cabai Setan</t>
  </si>
  <si>
    <t>Daun Bawang</t>
  </si>
  <si>
    <t>Serai</t>
  </si>
  <si>
    <t>Merica</t>
  </si>
  <si>
    <t>Ketumbar</t>
  </si>
  <si>
    <t>Kemiri</t>
  </si>
  <si>
    <t>Jahe</t>
  </si>
  <si>
    <t>Kunyit</t>
  </si>
  <si>
    <t>Laos</t>
  </si>
  <si>
    <t>Kencur</t>
  </si>
  <si>
    <t>Tomat</t>
  </si>
  <si>
    <t>Timun</t>
  </si>
  <si>
    <t>Kentang Sayur</t>
  </si>
  <si>
    <t>Wortel</t>
  </si>
  <si>
    <t>Kol</t>
  </si>
  <si>
    <t>Kembang Kol</t>
  </si>
  <si>
    <t>Putren</t>
  </si>
  <si>
    <t>Sawi Hijau</t>
  </si>
  <si>
    <t>Sawi Putih</t>
  </si>
  <si>
    <t>Kangkung</t>
  </si>
  <si>
    <t>Jeruk Nipis</t>
  </si>
  <si>
    <t>Cambah</t>
  </si>
  <si>
    <t>Terasi</t>
  </si>
  <si>
    <t>Brambang Goreng</t>
  </si>
  <si>
    <t>Gula Jawa</t>
  </si>
  <si>
    <t>Gula Pasir</t>
  </si>
  <si>
    <t>Garam</t>
  </si>
  <si>
    <t>Moto</t>
  </si>
  <si>
    <t>Masako</t>
  </si>
  <si>
    <t>Royco</t>
  </si>
  <si>
    <t>Marinasi</t>
  </si>
  <si>
    <t>Ketumbar Bubuk</t>
  </si>
  <si>
    <t xml:space="preserve">Beras </t>
  </si>
  <si>
    <t xml:space="preserve">Minyak </t>
  </si>
  <si>
    <t>Telor</t>
  </si>
  <si>
    <t>Saos</t>
  </si>
  <si>
    <t>Kecap</t>
  </si>
  <si>
    <t>Blue Band</t>
  </si>
  <si>
    <t>Mie Dara</t>
  </si>
  <si>
    <t>Mie Soun</t>
  </si>
  <si>
    <t>Mie Kwetiaw</t>
  </si>
  <si>
    <t>Sterofom</t>
  </si>
  <si>
    <t>Tepung Terigu</t>
  </si>
  <si>
    <t>Tepung Beras</t>
  </si>
  <si>
    <t>Tepung Kanji</t>
  </si>
  <si>
    <t>Tempe</t>
  </si>
  <si>
    <t>Tempe Ikat</t>
  </si>
  <si>
    <t>Tahu</t>
  </si>
  <si>
    <t>Tahu Bakso</t>
  </si>
  <si>
    <t>Galantin</t>
  </si>
  <si>
    <t>Kertas 0</t>
  </si>
  <si>
    <t>Kertas Kotak</t>
  </si>
  <si>
    <t>Ayam Penyet</t>
  </si>
  <si>
    <t>Ayam Soto</t>
  </si>
  <si>
    <t>Ayam Suiran</t>
  </si>
  <si>
    <t>Sayap</t>
  </si>
  <si>
    <t>Bebek</t>
  </si>
  <si>
    <t>Nugget</t>
  </si>
  <si>
    <t xml:space="preserve">Cireng </t>
  </si>
  <si>
    <t>Kentang</t>
  </si>
  <si>
    <t>Sosis</t>
  </si>
  <si>
    <t>Bakso</t>
  </si>
  <si>
    <t>Jeru Peras</t>
  </si>
  <si>
    <t>TOTAL</t>
  </si>
  <si>
    <t>MINUMAN</t>
  </si>
  <si>
    <t>STOCK AWAL(pcs)</t>
  </si>
  <si>
    <t>MASUK(pcs)</t>
  </si>
  <si>
    <t>TOTAL(pcs)</t>
  </si>
  <si>
    <t>HARGA/pcs</t>
  </si>
  <si>
    <t>STOCK AKHIR(pcs)</t>
  </si>
  <si>
    <t>Uwuh</t>
  </si>
  <si>
    <t>Kopi Hitam</t>
  </si>
  <si>
    <t>Good Day Merah</t>
  </si>
  <si>
    <t>Good Day Coklat</t>
  </si>
  <si>
    <t>White Coffee</t>
  </si>
  <si>
    <t xml:space="preserve">Susu Putih </t>
  </si>
  <si>
    <t>Susu Coklat</t>
  </si>
  <si>
    <t xml:space="preserve">Soda </t>
  </si>
  <si>
    <t>Sirup</t>
  </si>
  <si>
    <t xml:space="preserve">Teh </t>
  </si>
  <si>
    <t>Sedotan</t>
  </si>
  <si>
    <t>Es Batu</t>
  </si>
  <si>
    <t>Tisu</t>
  </si>
  <si>
    <t>Plastik Bungkus Sterofom</t>
  </si>
  <si>
    <t>Plastik Bungkus Cup</t>
  </si>
  <si>
    <t>Plastik 1kg</t>
  </si>
  <si>
    <t>Plastik 2kg</t>
  </si>
  <si>
    <t>Plastik 1/2kg</t>
  </si>
  <si>
    <t>Plastik 1/4kg</t>
  </si>
  <si>
    <t>Plastk Sampah Loreng</t>
  </si>
  <si>
    <t>Plastik Sampah Hitam</t>
  </si>
  <si>
    <t>Sunlight</t>
  </si>
  <si>
    <t>Air Galon</t>
  </si>
  <si>
    <t>Gas</t>
  </si>
  <si>
    <t>TOTAL ALL</t>
  </si>
  <si>
    <t>Stick Keju</t>
  </si>
  <si>
    <t>Asam Manis</t>
  </si>
  <si>
    <t>Saus Padang</t>
  </si>
  <si>
    <t>Garang Asem</t>
  </si>
  <si>
    <t>Daun Salam</t>
  </si>
  <si>
    <t>Nota 3 Play</t>
  </si>
  <si>
    <t>Babat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</si>
</sst>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64" fontId="0" fillId="2" borderId="0" xfId="0" applyNumberForma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"/>
  <sheetViews>
    <sheetView topLeftCell="A37" workbookViewId="0">
      <selection activeCell="A37" sqref="A1:XFD104857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" customWidth="1"/>
    <col min="6" max="6" width="14.7109375" customWidth="1"/>
    <col min="7" max="7" width="15.42578125" customWidth="1"/>
    <col min="8" max="8" width="18.42578125" customWidth="1"/>
    <col min="9" max="9" width="17.42578125" hidden="1" customWidth="1"/>
    <col min="10" max="10" width="15.425781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0.5</v>
      </c>
      <c r="E3" s="3">
        <f>C3+D3</f>
        <v>0.5</v>
      </c>
      <c r="F3" s="4">
        <v>36000</v>
      </c>
      <c r="G3" s="4">
        <f>F3*E3</f>
        <v>18000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/>
      <c r="D4" s="3">
        <v>0.5</v>
      </c>
      <c r="E4" s="3">
        <f t="shared" ref="E4:E72" si="0">C4+D4</f>
        <v>0.5</v>
      </c>
      <c r="F4" s="4">
        <v>36000</v>
      </c>
      <c r="G4" s="4">
        <f t="shared" ref="G4:G72" si="1">F4*E4</f>
        <v>18000</v>
      </c>
      <c r="H4" s="3"/>
      <c r="I4" s="4">
        <f t="shared" ref="I4:I72" si="2">F4</f>
        <v>36000</v>
      </c>
      <c r="J4" s="4">
        <f t="shared" ref="J4:J72" si="3">I4*H4</f>
        <v>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/>
      <c r="G6" s="4">
        <f t="shared" si="1"/>
        <v>0</v>
      </c>
      <c r="H6" s="3"/>
      <c r="I6" s="4">
        <f t="shared" si="2"/>
        <v>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/>
      <c r="D7" s="3">
        <v>0.5</v>
      </c>
      <c r="E7" s="3">
        <f t="shared" si="0"/>
        <v>0.5</v>
      </c>
      <c r="F7" s="4">
        <v>36000</v>
      </c>
      <c r="G7" s="4">
        <f t="shared" si="1"/>
        <v>18000</v>
      </c>
      <c r="H7" s="3"/>
      <c r="I7" s="4">
        <f t="shared" si="2"/>
        <v>36000</v>
      </c>
      <c r="J7" s="4">
        <f t="shared" si="3"/>
        <v>0</v>
      </c>
    </row>
    <row r="8" spans="1:10" x14ac:dyDescent="0.25">
      <c r="A8" s="3">
        <v>6</v>
      </c>
      <c r="B8" t="s">
        <v>14</v>
      </c>
      <c r="C8" s="3"/>
      <c r="D8" s="3">
        <v>0.5</v>
      </c>
      <c r="E8" s="3">
        <f t="shared" si="0"/>
        <v>0.5</v>
      </c>
      <c r="F8" s="4">
        <v>50000</v>
      </c>
      <c r="G8" s="4">
        <f t="shared" si="1"/>
        <v>25000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/>
      <c r="I9" s="4">
        <f t="shared" si="2"/>
        <v>13000</v>
      </c>
      <c r="J9" s="4">
        <f t="shared" si="3"/>
        <v>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>
        <v>0.25</v>
      </c>
      <c r="E16" s="3">
        <f t="shared" si="0"/>
        <v>0.25</v>
      </c>
      <c r="F16" s="4">
        <v>20000</v>
      </c>
      <c r="G16" s="4">
        <f t="shared" si="1"/>
        <v>5000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>
        <v>0.25</v>
      </c>
      <c r="E17" s="3">
        <f t="shared" si="0"/>
        <v>0.25</v>
      </c>
      <c r="F17" s="4">
        <v>16000</v>
      </c>
      <c r="G17" s="4">
        <f t="shared" si="1"/>
        <v>4000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/>
      <c r="E19" s="3">
        <f t="shared" si="0"/>
        <v>0</v>
      </c>
      <c r="F19" s="4"/>
      <c r="G19" s="4">
        <f t="shared" si="1"/>
        <v>0</v>
      </c>
      <c r="H19" s="3"/>
      <c r="I19" s="4">
        <f t="shared" si="2"/>
        <v>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/>
      <c r="D20" s="3">
        <v>2</v>
      </c>
      <c r="E20" s="3">
        <f t="shared" si="0"/>
        <v>2</v>
      </c>
      <c r="F20" s="4">
        <v>11000</v>
      </c>
      <c r="G20" s="4">
        <f t="shared" si="1"/>
        <v>22000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>
        <v>1</v>
      </c>
      <c r="E22" s="3">
        <f t="shared" si="0"/>
        <v>1</v>
      </c>
      <c r="F22" s="4">
        <v>15000</v>
      </c>
      <c r="G22" s="4">
        <f t="shared" si="1"/>
        <v>15000</v>
      </c>
      <c r="H22" s="3">
        <v>0.46</v>
      </c>
      <c r="I22" s="4">
        <f t="shared" si="2"/>
        <v>15000</v>
      </c>
      <c r="J22" s="4">
        <f t="shared" si="3"/>
        <v>6900</v>
      </c>
    </row>
    <row r="23" spans="1:10" x14ac:dyDescent="0.25">
      <c r="A23" s="3">
        <v>21</v>
      </c>
      <c r="B23" t="s">
        <v>28</v>
      </c>
      <c r="C23" s="3"/>
      <c r="D23" s="3">
        <v>5.5</v>
      </c>
      <c r="E23" s="3">
        <f t="shared" si="0"/>
        <v>5.5</v>
      </c>
      <c r="F23" s="4">
        <v>8000</v>
      </c>
      <c r="G23" s="4">
        <f>F23*E23</f>
        <v>44000</v>
      </c>
      <c r="H23" s="3">
        <v>1.0900000000000001</v>
      </c>
      <c r="I23" s="4">
        <f t="shared" si="2"/>
        <v>8000</v>
      </c>
      <c r="J23" s="4">
        <f t="shared" si="3"/>
        <v>8720</v>
      </c>
    </row>
    <row r="24" spans="1:10" x14ac:dyDescent="0.25">
      <c r="A24" s="3">
        <v>22</v>
      </c>
      <c r="B24" t="s">
        <v>29</v>
      </c>
      <c r="C24" s="3"/>
      <c r="D24" s="3">
        <v>1</v>
      </c>
      <c r="E24" s="3">
        <f t="shared" si="0"/>
        <v>1</v>
      </c>
      <c r="F24" s="4">
        <v>8000</v>
      </c>
      <c r="G24" s="4">
        <f t="shared" si="1"/>
        <v>8000</v>
      </c>
      <c r="H24" s="3">
        <v>0.31</v>
      </c>
      <c r="I24" s="4">
        <f t="shared" si="2"/>
        <v>8000</v>
      </c>
      <c r="J24" s="4">
        <f t="shared" si="3"/>
        <v>2480</v>
      </c>
    </row>
    <row r="25" spans="1:10" x14ac:dyDescent="0.25">
      <c r="A25" s="3">
        <v>23</v>
      </c>
      <c r="B25" t="s">
        <v>30</v>
      </c>
      <c r="C25" s="3"/>
      <c r="D25" s="3">
        <v>2</v>
      </c>
      <c r="E25" s="3">
        <f t="shared" si="0"/>
        <v>2</v>
      </c>
      <c r="F25" s="4">
        <v>3000</v>
      </c>
      <c r="G25" s="4">
        <f t="shared" si="1"/>
        <v>6000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>
        <v>3</v>
      </c>
      <c r="E26" s="3">
        <f t="shared" si="0"/>
        <v>3</v>
      </c>
      <c r="F26" s="4">
        <v>11500</v>
      </c>
      <c r="G26" s="4">
        <f t="shared" si="1"/>
        <v>34500</v>
      </c>
      <c r="H26" s="3">
        <v>0.42</v>
      </c>
      <c r="I26" s="4">
        <f t="shared" si="2"/>
        <v>11500</v>
      </c>
      <c r="J26" s="4">
        <f t="shared" si="3"/>
        <v>4830</v>
      </c>
    </row>
    <row r="27" spans="1:10" x14ac:dyDescent="0.25">
      <c r="A27" s="3">
        <v>25</v>
      </c>
      <c r="B27" t="s">
        <v>32</v>
      </c>
      <c r="C27" s="3"/>
      <c r="D27" s="3"/>
      <c r="E27" s="3">
        <f t="shared" si="0"/>
        <v>0</v>
      </c>
      <c r="F27" s="4"/>
      <c r="G27" s="4">
        <f t="shared" si="1"/>
        <v>0</v>
      </c>
      <c r="H27" s="3"/>
      <c r="I27" s="4">
        <f t="shared" si="2"/>
        <v>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/>
      <c r="G28" s="4">
        <f t="shared" si="1"/>
        <v>0</v>
      </c>
      <c r="H28" s="3"/>
      <c r="I28" s="4">
        <f t="shared" si="2"/>
        <v>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>
        <v>0.25</v>
      </c>
      <c r="E29" s="3">
        <f t="shared" si="0"/>
        <v>0.25</v>
      </c>
      <c r="F29" s="4">
        <v>24000</v>
      </c>
      <c r="G29" s="4">
        <f t="shared" si="1"/>
        <v>6000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/>
      <c r="G30" s="4">
        <f t="shared" si="1"/>
        <v>0</v>
      </c>
      <c r="H30" s="3"/>
      <c r="I30" s="4">
        <f t="shared" si="2"/>
        <v>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>
        <v>0.25</v>
      </c>
      <c r="E32" s="3">
        <f t="shared" si="0"/>
        <v>0.25</v>
      </c>
      <c r="F32" s="4">
        <v>32000</v>
      </c>
      <c r="G32" s="4">
        <f t="shared" si="1"/>
        <v>8000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/>
      <c r="G33" s="4">
        <f t="shared" si="1"/>
        <v>0</v>
      </c>
      <c r="H33" s="3"/>
      <c r="I33" s="4">
        <f t="shared" si="2"/>
        <v>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4</v>
      </c>
      <c r="D34" s="3">
        <v>4</v>
      </c>
      <c r="E34" s="3">
        <f t="shared" si="0"/>
        <v>8</v>
      </c>
      <c r="F34" s="4">
        <v>17500</v>
      </c>
      <c r="G34" s="4">
        <f t="shared" si="1"/>
        <v>140000</v>
      </c>
      <c r="H34" s="3">
        <v>3</v>
      </c>
      <c r="I34" s="4">
        <f t="shared" si="2"/>
        <v>17500</v>
      </c>
      <c r="J34" s="4">
        <f t="shared" si="3"/>
        <v>52500</v>
      </c>
    </row>
    <row r="35" spans="1:10" x14ac:dyDescent="0.25">
      <c r="A35" s="3">
        <v>33</v>
      </c>
      <c r="B35" t="s">
        <v>40</v>
      </c>
      <c r="C35" s="3">
        <v>2</v>
      </c>
      <c r="D35" s="3">
        <v>1</v>
      </c>
      <c r="E35" s="3">
        <f t="shared" si="0"/>
        <v>3</v>
      </c>
      <c r="F35" s="4">
        <v>3000</v>
      </c>
      <c r="G35" s="4">
        <f t="shared" si="1"/>
        <v>9000</v>
      </c>
      <c r="H35" s="3">
        <v>1.5</v>
      </c>
      <c r="I35" s="4">
        <f t="shared" si="2"/>
        <v>3000</v>
      </c>
      <c r="J35" s="4">
        <f t="shared" si="3"/>
        <v>4500</v>
      </c>
    </row>
    <row r="36" spans="1:10" x14ac:dyDescent="0.25">
      <c r="A36" s="3">
        <v>34</v>
      </c>
      <c r="B36" t="s">
        <v>41</v>
      </c>
      <c r="C36" s="3">
        <v>2</v>
      </c>
      <c r="D36" s="3"/>
      <c r="E36" s="3">
        <f t="shared" si="0"/>
        <v>2</v>
      </c>
      <c r="F36" s="4">
        <v>11000</v>
      </c>
      <c r="G36" s="4">
        <f t="shared" si="1"/>
        <v>22000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>
        <v>14</v>
      </c>
      <c r="I37" s="4">
        <f t="shared" si="2"/>
        <v>600</v>
      </c>
      <c r="J37" s="4">
        <f t="shared" si="3"/>
        <v>8400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>
        <v>12</v>
      </c>
      <c r="I38" s="4">
        <f t="shared" si="2"/>
        <v>600</v>
      </c>
      <c r="J38" s="4">
        <f t="shared" si="3"/>
        <v>7200</v>
      </c>
    </row>
    <row r="39" spans="1:10" x14ac:dyDescent="0.25">
      <c r="A39" s="3">
        <v>37</v>
      </c>
      <c r="B39" t="s">
        <v>44</v>
      </c>
      <c r="C39" s="3"/>
      <c r="D39" s="3">
        <v>28</v>
      </c>
      <c r="E39" s="3">
        <f t="shared" si="0"/>
        <v>28</v>
      </c>
      <c r="F39" s="4">
        <v>1200</v>
      </c>
      <c r="G39" s="4">
        <f t="shared" si="1"/>
        <v>33600</v>
      </c>
      <c r="H39" s="3">
        <v>23</v>
      </c>
      <c r="I39" s="4">
        <f t="shared" si="2"/>
        <v>1200</v>
      </c>
      <c r="J39" s="4">
        <f t="shared" si="3"/>
        <v>27600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1</v>
      </c>
      <c r="E41" s="3">
        <f t="shared" si="0"/>
        <v>3</v>
      </c>
      <c r="F41" s="4">
        <v>83000</v>
      </c>
      <c r="G41" s="4">
        <f t="shared" si="1"/>
        <v>249000</v>
      </c>
      <c r="H41" s="3">
        <v>1.5</v>
      </c>
      <c r="I41" s="4">
        <f t="shared" si="2"/>
        <v>83000</v>
      </c>
      <c r="J41" s="4">
        <f t="shared" si="3"/>
        <v>124500</v>
      </c>
    </row>
    <row r="42" spans="1:10" x14ac:dyDescent="0.25">
      <c r="A42" s="3">
        <v>40</v>
      </c>
      <c r="B42" t="s">
        <v>47</v>
      </c>
      <c r="C42" s="3"/>
      <c r="D42" s="3">
        <v>5</v>
      </c>
      <c r="E42" s="3">
        <f t="shared" si="0"/>
        <v>5</v>
      </c>
      <c r="F42" s="4">
        <v>21000</v>
      </c>
      <c r="G42" s="4">
        <f t="shared" si="1"/>
        <v>105000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>
        <v>2</v>
      </c>
      <c r="D43" s="3"/>
      <c r="E43" s="3">
        <f t="shared" si="0"/>
        <v>2</v>
      </c>
      <c r="F43" s="4">
        <v>25000</v>
      </c>
      <c r="G43" s="4">
        <f t="shared" si="1"/>
        <v>50000</v>
      </c>
      <c r="H43" s="3">
        <v>2.25</v>
      </c>
      <c r="I43" s="4">
        <f t="shared" si="2"/>
        <v>25000</v>
      </c>
      <c r="J43" s="4">
        <f t="shared" si="3"/>
        <v>56250</v>
      </c>
    </row>
    <row r="44" spans="1:10" x14ac:dyDescent="0.25">
      <c r="A44" s="3">
        <v>42</v>
      </c>
      <c r="B44" t="s">
        <v>49</v>
      </c>
      <c r="C44" s="3"/>
      <c r="D44" s="3">
        <v>2</v>
      </c>
      <c r="E44" s="3">
        <f t="shared" si="0"/>
        <v>2</v>
      </c>
      <c r="F44" s="4">
        <v>5500</v>
      </c>
      <c r="G44" s="4">
        <f t="shared" si="1"/>
        <v>11000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>
        <v>3</v>
      </c>
      <c r="E45" s="3">
        <f t="shared" si="0"/>
        <v>5</v>
      </c>
      <c r="F45" s="4">
        <v>15500</v>
      </c>
      <c r="G45" s="4">
        <f t="shared" si="1"/>
        <v>77500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>
        <v>1</v>
      </c>
      <c r="D48" s="3"/>
      <c r="E48" s="3">
        <f t="shared" si="0"/>
        <v>1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4</v>
      </c>
      <c r="D49" s="3">
        <v>6</v>
      </c>
      <c r="E49" s="3">
        <f t="shared" si="0"/>
        <v>10</v>
      </c>
      <c r="F49" s="4">
        <v>6000</v>
      </c>
      <c r="G49" s="4">
        <f t="shared" si="1"/>
        <v>60000</v>
      </c>
      <c r="H49" s="3">
        <v>4</v>
      </c>
      <c r="I49" s="4">
        <f t="shared" si="2"/>
        <v>6000</v>
      </c>
      <c r="J49" s="4">
        <f t="shared" si="3"/>
        <v>24000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</v>
      </c>
      <c r="D51" s="3">
        <v>1</v>
      </c>
      <c r="E51" s="3">
        <f t="shared" si="0"/>
        <v>2</v>
      </c>
      <c r="F51" s="4">
        <v>12000</v>
      </c>
      <c r="G51" s="4">
        <f t="shared" si="1"/>
        <v>24000</v>
      </c>
      <c r="H51" s="3"/>
      <c r="I51" s="4">
        <f t="shared" si="2"/>
        <v>12000</v>
      </c>
      <c r="J51" s="4">
        <f t="shared" si="3"/>
        <v>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>
        <v>5</v>
      </c>
      <c r="E54" s="3">
        <f t="shared" si="0"/>
        <v>5</v>
      </c>
      <c r="F54" s="4">
        <v>6000</v>
      </c>
      <c r="G54" s="4">
        <f t="shared" si="1"/>
        <v>30000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/>
      <c r="G55" s="4">
        <f t="shared" si="1"/>
        <v>0</v>
      </c>
      <c r="H55" s="3"/>
      <c r="I55" s="4">
        <f t="shared" si="2"/>
        <v>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1</v>
      </c>
      <c r="D59" s="3"/>
      <c r="E59" s="3">
        <f t="shared" si="0"/>
        <v>1</v>
      </c>
      <c r="F59" s="4">
        <v>20000</v>
      </c>
      <c r="G59" s="4">
        <f t="shared" si="1"/>
        <v>20000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>
        <v>1</v>
      </c>
      <c r="D60" s="3"/>
      <c r="E60" s="3">
        <f t="shared" si="0"/>
        <v>1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16</v>
      </c>
      <c r="D61" s="3">
        <v>21</v>
      </c>
      <c r="E61" s="3">
        <f t="shared" si="0"/>
        <v>37</v>
      </c>
      <c r="F61" s="4">
        <v>5250</v>
      </c>
      <c r="G61" s="4">
        <f t="shared" si="1"/>
        <v>194250</v>
      </c>
      <c r="H61" s="3">
        <v>25</v>
      </c>
      <c r="I61" s="4">
        <f t="shared" si="2"/>
        <v>5250</v>
      </c>
      <c r="J61" s="4">
        <f t="shared" si="3"/>
        <v>131250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/>
      <c r="G63" s="4">
        <f t="shared" si="1"/>
        <v>0</v>
      </c>
      <c r="H63" s="3"/>
      <c r="I63" s="4">
        <f t="shared" si="2"/>
        <v>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6</v>
      </c>
      <c r="D64" s="3"/>
      <c r="E64" s="3">
        <f t="shared" si="0"/>
        <v>6</v>
      </c>
      <c r="F64" s="4">
        <v>4625</v>
      </c>
      <c r="G64" s="4">
        <f t="shared" si="1"/>
        <v>27750</v>
      </c>
      <c r="H64" s="3"/>
      <c r="I64" s="4">
        <f t="shared" si="2"/>
        <v>4625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/>
      <c r="D65" s="3">
        <v>20</v>
      </c>
      <c r="E65" s="3">
        <f t="shared" si="0"/>
        <v>20</v>
      </c>
      <c r="F65" s="4">
        <v>21000</v>
      </c>
      <c r="G65" s="4">
        <f t="shared" si="1"/>
        <v>420000</v>
      </c>
      <c r="H65" s="3">
        <v>6.25</v>
      </c>
      <c r="I65" s="4">
        <f t="shared" si="2"/>
        <v>21000</v>
      </c>
      <c r="J65" s="4">
        <f t="shared" si="3"/>
        <v>131250</v>
      </c>
    </row>
    <row r="66" spans="1:10" x14ac:dyDescent="0.25">
      <c r="A66" s="3">
        <v>64</v>
      </c>
      <c r="B66" t="s">
        <v>71</v>
      </c>
      <c r="C66" s="3"/>
      <c r="D66" s="3">
        <v>2</v>
      </c>
      <c r="E66" s="3">
        <f t="shared" si="0"/>
        <v>2</v>
      </c>
      <c r="F66" s="4">
        <v>17500</v>
      </c>
      <c r="G66" s="4">
        <f t="shared" si="1"/>
        <v>35000</v>
      </c>
      <c r="H66" s="3"/>
      <c r="I66" s="4">
        <f t="shared" si="2"/>
        <v>17500</v>
      </c>
      <c r="J66" s="4">
        <f t="shared" si="3"/>
        <v>0</v>
      </c>
    </row>
    <row r="67" spans="1:10" x14ac:dyDescent="0.25">
      <c r="A67" s="3">
        <v>65</v>
      </c>
      <c r="B67" t="s">
        <v>72</v>
      </c>
      <c r="C67" s="3">
        <v>2</v>
      </c>
      <c r="D67" s="3">
        <v>2</v>
      </c>
      <c r="E67" s="3">
        <f t="shared" si="0"/>
        <v>4</v>
      </c>
      <c r="F67" s="4">
        <v>8000</v>
      </c>
      <c r="G67" s="4">
        <f t="shared" si="1"/>
        <v>32000</v>
      </c>
      <c r="H67" s="3">
        <v>2</v>
      </c>
      <c r="I67" s="4">
        <f t="shared" si="2"/>
        <v>8000</v>
      </c>
      <c r="J67" s="4">
        <f t="shared" si="3"/>
        <v>16000</v>
      </c>
    </row>
    <row r="68" spans="1:10" x14ac:dyDescent="0.25">
      <c r="A68" s="3">
        <v>66</v>
      </c>
      <c r="B68" t="s">
        <v>73</v>
      </c>
      <c r="C68" s="3">
        <v>1.5</v>
      </c>
      <c r="D68" s="3"/>
      <c r="E68" s="3">
        <f t="shared" si="0"/>
        <v>1.5</v>
      </c>
      <c r="F68" s="4"/>
      <c r="G68" s="4">
        <f t="shared" si="1"/>
        <v>0</v>
      </c>
      <c r="H68" s="3"/>
      <c r="I68" s="4">
        <f t="shared" si="2"/>
        <v>0</v>
      </c>
      <c r="J68" s="4">
        <f t="shared" si="3"/>
        <v>0</v>
      </c>
    </row>
    <row r="69" spans="1:10" x14ac:dyDescent="0.25">
      <c r="A69" s="3">
        <v>67</v>
      </c>
      <c r="B69" t="s">
        <v>74</v>
      </c>
      <c r="C69" s="3">
        <v>1</v>
      </c>
      <c r="D69" s="3">
        <v>1</v>
      </c>
      <c r="E69" s="3">
        <f t="shared" si="0"/>
        <v>2</v>
      </c>
      <c r="F69" s="4">
        <v>24000</v>
      </c>
      <c r="G69" s="4">
        <f t="shared" si="1"/>
        <v>48000</v>
      </c>
      <c r="H69" s="3">
        <v>1</v>
      </c>
      <c r="I69" s="4">
        <f t="shared" si="2"/>
        <v>24000</v>
      </c>
      <c r="J69" s="4">
        <f t="shared" si="3"/>
        <v>24000</v>
      </c>
    </row>
    <row r="70" spans="1:10" x14ac:dyDescent="0.25">
      <c r="A70" s="3">
        <v>68</v>
      </c>
      <c r="B70" t="s">
        <v>75</v>
      </c>
      <c r="C70" s="3"/>
      <c r="D70" s="3"/>
      <c r="E70" s="3">
        <f t="shared" si="0"/>
        <v>0</v>
      </c>
      <c r="F70" s="4"/>
      <c r="G70" s="4">
        <f t="shared" si="1"/>
        <v>0</v>
      </c>
      <c r="H70" s="3"/>
      <c r="I70" s="4">
        <f t="shared" si="2"/>
        <v>0</v>
      </c>
      <c r="J70" s="4">
        <f t="shared" si="3"/>
        <v>0</v>
      </c>
    </row>
    <row r="71" spans="1:10" x14ac:dyDescent="0.25">
      <c r="A71" s="3">
        <v>69</v>
      </c>
      <c r="B71" t="s">
        <v>76</v>
      </c>
      <c r="C71" s="3">
        <v>1</v>
      </c>
      <c r="D71" s="3">
        <v>2</v>
      </c>
      <c r="E71" s="3">
        <f t="shared" si="0"/>
        <v>3</v>
      </c>
      <c r="F71" s="4">
        <v>15000</v>
      </c>
      <c r="G71" s="4">
        <f>F71*E71</f>
        <v>45000</v>
      </c>
      <c r="H71" s="3">
        <v>2.5</v>
      </c>
      <c r="I71" s="4">
        <f t="shared" si="2"/>
        <v>15000</v>
      </c>
      <c r="J71" s="4">
        <f t="shared" si="3"/>
        <v>37500</v>
      </c>
    </row>
    <row r="72" spans="1:10" x14ac:dyDescent="0.25">
      <c r="A72" s="3">
        <v>70</v>
      </c>
      <c r="B72" t="s">
        <v>109</v>
      </c>
      <c r="C72" s="3">
        <v>3</v>
      </c>
      <c r="D72" s="3"/>
      <c r="E72" s="3">
        <f t="shared" si="0"/>
        <v>3</v>
      </c>
      <c r="F72" s="4"/>
      <c r="G72" s="4">
        <f t="shared" si="1"/>
        <v>0</v>
      </c>
      <c r="H72" s="3"/>
      <c r="I72" s="4">
        <f t="shared" si="2"/>
        <v>0</v>
      </c>
      <c r="J72" s="4">
        <f t="shared" si="3"/>
        <v>0</v>
      </c>
    </row>
    <row r="73" spans="1:10" x14ac:dyDescent="0.25">
      <c r="A73" s="3">
        <v>71</v>
      </c>
      <c r="B73" t="s">
        <v>110</v>
      </c>
      <c r="C73" s="3">
        <v>6</v>
      </c>
      <c r="D73" s="3"/>
      <c r="E73" s="3">
        <f t="shared" ref="E73:E82" si="4">C73+D73</f>
        <v>6</v>
      </c>
      <c r="F73" s="4"/>
      <c r="G73" s="4">
        <f t="shared" ref="G73:G82" si="5">F73*E73</f>
        <v>0</v>
      </c>
      <c r="H73" s="3"/>
      <c r="I73" s="4">
        <f t="shared" ref="I73:I82" si="6">F73</f>
        <v>0</v>
      </c>
      <c r="J73" s="4">
        <f t="shared" ref="J73:J82" si="7">I73*H73</f>
        <v>0</v>
      </c>
    </row>
    <row r="74" spans="1:10" x14ac:dyDescent="0.25">
      <c r="A74" s="3">
        <v>72</v>
      </c>
      <c r="B74" t="s">
        <v>111</v>
      </c>
      <c r="C74" s="3"/>
      <c r="D74" s="3"/>
      <c r="E74" s="3">
        <f t="shared" si="4"/>
        <v>0</v>
      </c>
      <c r="F74" s="4"/>
      <c r="G74" s="4">
        <f t="shared" si="5"/>
        <v>0</v>
      </c>
      <c r="H74" s="3"/>
      <c r="I74" s="4">
        <f t="shared" si="6"/>
        <v>0</v>
      </c>
      <c r="J74" s="4">
        <f t="shared" si="7"/>
        <v>0</v>
      </c>
    </row>
    <row r="75" spans="1:10" x14ac:dyDescent="0.25">
      <c r="A75" s="3">
        <v>73</v>
      </c>
      <c r="B75" t="s">
        <v>112</v>
      </c>
      <c r="C75" s="3"/>
      <c r="D75" s="3"/>
      <c r="E75" s="3">
        <f t="shared" si="4"/>
        <v>0</v>
      </c>
      <c r="F75" s="4"/>
      <c r="G75" s="4">
        <f t="shared" si="5"/>
        <v>0</v>
      </c>
      <c r="H75" s="3"/>
      <c r="I75" s="4">
        <f t="shared" si="6"/>
        <v>0</v>
      </c>
      <c r="J75" s="4">
        <f t="shared" si="7"/>
        <v>0</v>
      </c>
    </row>
    <row r="76" spans="1:10" x14ac:dyDescent="0.25">
      <c r="A76" s="3">
        <v>74</v>
      </c>
      <c r="C76" s="3"/>
      <c r="D76" s="3"/>
      <c r="E76" s="3">
        <f t="shared" si="4"/>
        <v>0</v>
      </c>
      <c r="F76" s="4"/>
      <c r="G76" s="4">
        <f t="shared" si="5"/>
        <v>0</v>
      </c>
      <c r="H76" s="3"/>
      <c r="I76" s="4">
        <f t="shared" si="6"/>
        <v>0</v>
      </c>
      <c r="J76" s="4">
        <f t="shared" si="7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5"/>
        <v>0</v>
      </c>
      <c r="H77" s="3"/>
      <c r="I77" s="4">
        <f t="shared" si="6"/>
        <v>0</v>
      </c>
      <c r="J77" s="4">
        <f t="shared" si="7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5"/>
        <v>0</v>
      </c>
      <c r="H78" s="3"/>
      <c r="I78" s="4">
        <f t="shared" si="6"/>
        <v>0</v>
      </c>
      <c r="J78" s="4">
        <f t="shared" si="7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5"/>
        <v>0</v>
      </c>
      <c r="H79" s="3"/>
      <c r="I79" s="4">
        <f t="shared" si="6"/>
        <v>0</v>
      </c>
      <c r="J79" s="4">
        <f t="shared" si="7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5"/>
        <v>0</v>
      </c>
      <c r="H80" s="3"/>
      <c r="I80" s="4">
        <f t="shared" si="6"/>
        <v>0</v>
      </c>
      <c r="J80" s="4">
        <f t="shared" si="7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5"/>
        <v>0</v>
      </c>
      <c r="H81" s="3"/>
      <c r="I81" s="4">
        <f t="shared" si="6"/>
        <v>0</v>
      </c>
      <c r="J81" s="4">
        <f t="shared" si="7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5"/>
        <v>0</v>
      </c>
      <c r="H82" s="3"/>
      <c r="I82" s="4">
        <f t="shared" si="6"/>
        <v>0</v>
      </c>
      <c r="J82" s="4">
        <f t="shared" si="7"/>
        <v>0</v>
      </c>
    </row>
    <row r="83" spans="1:10" x14ac:dyDescent="0.25">
      <c r="A83" s="3"/>
      <c r="C83" s="3"/>
      <c r="D83" s="3"/>
      <c r="E83" s="3"/>
      <c r="F83" s="4"/>
      <c r="G83" s="4"/>
      <c r="H83" s="3"/>
      <c r="I83" s="4"/>
      <c r="J83" s="4"/>
    </row>
    <row r="84" spans="1:10" x14ac:dyDescent="0.25">
      <c r="A84" s="7" t="s">
        <v>77</v>
      </c>
      <c r="B84" s="7"/>
      <c r="C84" s="7"/>
      <c r="D84" s="7"/>
      <c r="E84" s="7"/>
      <c r="F84" s="7"/>
      <c r="G84" s="5">
        <f>SUM(G3:G83)</f>
        <v>1877600</v>
      </c>
      <c r="H84" s="5"/>
      <c r="I84" s="5"/>
      <c r="J84" s="5">
        <f t="shared" ref="J84" si="8">SUM(J3:J83)</f>
        <v>698880</v>
      </c>
    </row>
    <row r="85" spans="1:10" x14ac:dyDescent="0.25">
      <c r="A85" s="3"/>
      <c r="C85" s="3"/>
      <c r="D85" s="3"/>
      <c r="E85" s="3"/>
      <c r="F85" s="4"/>
      <c r="G85" s="4"/>
      <c r="H85" s="3"/>
      <c r="I85" s="4"/>
      <c r="J85" s="4"/>
    </row>
    <row r="86" spans="1:10" ht="27.75" customHeight="1" x14ac:dyDescent="0.25">
      <c r="A86" s="6" t="s">
        <v>78</v>
      </c>
      <c r="B86" s="6"/>
      <c r="C86" s="6"/>
      <c r="D86" s="6"/>
      <c r="E86" s="6"/>
      <c r="F86" s="6"/>
      <c r="G86" s="6"/>
      <c r="H86" s="6"/>
      <c r="I86" s="6"/>
      <c r="J86" s="6"/>
    </row>
    <row r="87" spans="1:10" s="2" customFormat="1" ht="15.75" customHeight="1" x14ac:dyDescent="0.25">
      <c r="A87" s="1" t="s">
        <v>1</v>
      </c>
      <c r="B87" s="1" t="s">
        <v>2</v>
      </c>
      <c r="C87" s="1" t="s">
        <v>79</v>
      </c>
      <c r="D87" s="1" t="s">
        <v>80</v>
      </c>
      <c r="E87" s="1" t="s">
        <v>81</v>
      </c>
      <c r="F87" s="1" t="s">
        <v>82</v>
      </c>
      <c r="G87" s="1" t="s">
        <v>7</v>
      </c>
      <c r="H87" s="1" t="s">
        <v>83</v>
      </c>
      <c r="I87" s="1" t="s">
        <v>82</v>
      </c>
      <c r="J87" s="1" t="s">
        <v>7</v>
      </c>
    </row>
    <row r="88" spans="1:10" x14ac:dyDescent="0.25">
      <c r="A88" s="3">
        <v>1</v>
      </c>
      <c r="B88" t="s">
        <v>84</v>
      </c>
      <c r="C88" s="3"/>
      <c r="D88" s="3"/>
      <c r="E88" s="3">
        <f>C88+D88</f>
        <v>0</v>
      </c>
      <c r="F88" s="4"/>
      <c r="G88" s="4">
        <f>F88*E88</f>
        <v>0</v>
      </c>
      <c r="H88" s="3"/>
      <c r="I88" s="4">
        <f>F88</f>
        <v>0</v>
      </c>
      <c r="J88" s="4">
        <f>I88*H88</f>
        <v>0</v>
      </c>
    </row>
    <row r="89" spans="1:10" x14ac:dyDescent="0.25">
      <c r="A89" s="3">
        <v>2</v>
      </c>
      <c r="B89" t="s">
        <v>85</v>
      </c>
      <c r="C89" s="3">
        <v>15</v>
      </c>
      <c r="D89" s="3">
        <v>10</v>
      </c>
      <c r="E89" s="3">
        <f t="shared" ref="E89:E119" si="9">C89+D89</f>
        <v>25</v>
      </c>
      <c r="F89" s="4">
        <v>1000</v>
      </c>
      <c r="G89" s="4">
        <f t="shared" ref="G89:G119" si="10">F89*E89</f>
        <v>25000</v>
      </c>
      <c r="H89" s="3">
        <v>21</v>
      </c>
      <c r="I89" s="4">
        <f t="shared" ref="I89:I119" si="11">F89</f>
        <v>1000</v>
      </c>
      <c r="J89" s="4">
        <f t="shared" ref="J89:J119" si="12">I89*H89</f>
        <v>21000</v>
      </c>
    </row>
    <row r="90" spans="1:10" x14ac:dyDescent="0.25">
      <c r="A90" s="3">
        <v>3</v>
      </c>
      <c r="B90" t="s">
        <v>86</v>
      </c>
      <c r="C90" s="3">
        <v>9</v>
      </c>
      <c r="D90" s="3">
        <v>10</v>
      </c>
      <c r="E90" s="3">
        <f t="shared" si="9"/>
        <v>19</v>
      </c>
      <c r="F90" s="4">
        <v>1650</v>
      </c>
      <c r="G90" s="4">
        <f t="shared" si="10"/>
        <v>31350</v>
      </c>
      <c r="H90" s="3">
        <v>8</v>
      </c>
      <c r="I90" s="4">
        <f t="shared" si="11"/>
        <v>1650</v>
      </c>
      <c r="J90" s="4">
        <f t="shared" si="12"/>
        <v>13200</v>
      </c>
    </row>
    <row r="91" spans="1:10" x14ac:dyDescent="0.25">
      <c r="A91" s="3">
        <v>4</v>
      </c>
      <c r="B91" t="s">
        <v>87</v>
      </c>
      <c r="C91" s="3">
        <v>3</v>
      </c>
      <c r="D91" s="3">
        <v>10</v>
      </c>
      <c r="E91" s="3">
        <f t="shared" si="9"/>
        <v>13</v>
      </c>
      <c r="F91" s="4">
        <v>1650</v>
      </c>
      <c r="G91" s="4">
        <f t="shared" si="10"/>
        <v>21450</v>
      </c>
      <c r="H91" s="3">
        <v>10</v>
      </c>
      <c r="I91" s="4">
        <f t="shared" si="11"/>
        <v>1650</v>
      </c>
      <c r="J91" s="4">
        <f t="shared" si="12"/>
        <v>16500</v>
      </c>
    </row>
    <row r="92" spans="1:10" x14ac:dyDescent="0.25">
      <c r="A92" s="3">
        <v>5</v>
      </c>
      <c r="B92" t="s">
        <v>88</v>
      </c>
      <c r="C92" s="3">
        <v>5</v>
      </c>
      <c r="D92" s="3">
        <v>10</v>
      </c>
      <c r="E92" s="3">
        <f t="shared" si="9"/>
        <v>15</v>
      </c>
      <c r="F92" s="4">
        <v>1750</v>
      </c>
      <c r="G92" s="4">
        <f t="shared" si="10"/>
        <v>26250</v>
      </c>
      <c r="H92" s="3">
        <v>13</v>
      </c>
      <c r="I92" s="4">
        <f t="shared" si="11"/>
        <v>1750</v>
      </c>
      <c r="J92" s="4">
        <f t="shared" si="12"/>
        <v>22750</v>
      </c>
    </row>
    <row r="93" spans="1:10" x14ac:dyDescent="0.25">
      <c r="A93" s="3">
        <v>6</v>
      </c>
      <c r="B93" t="s">
        <v>89</v>
      </c>
      <c r="C93" s="3"/>
      <c r="D93" s="3">
        <v>18</v>
      </c>
      <c r="E93" s="3">
        <f t="shared" si="9"/>
        <v>18</v>
      </c>
      <c r="F93" s="4">
        <v>1500</v>
      </c>
      <c r="G93" s="4">
        <f t="shared" si="10"/>
        <v>27000</v>
      </c>
      <c r="H93" s="3">
        <v>13</v>
      </c>
      <c r="I93" s="4">
        <f t="shared" si="11"/>
        <v>1500</v>
      </c>
      <c r="J93" s="4">
        <f t="shared" si="12"/>
        <v>19500</v>
      </c>
    </row>
    <row r="94" spans="1:10" x14ac:dyDescent="0.25">
      <c r="A94" s="3">
        <v>7</v>
      </c>
      <c r="B94" t="s">
        <v>90</v>
      </c>
      <c r="C94" s="3">
        <v>7</v>
      </c>
      <c r="D94" s="3">
        <v>12</v>
      </c>
      <c r="E94" s="3">
        <f t="shared" si="9"/>
        <v>19</v>
      </c>
      <c r="F94" s="4">
        <v>1500</v>
      </c>
      <c r="G94" s="4">
        <f t="shared" si="10"/>
        <v>28500</v>
      </c>
      <c r="H94" s="3">
        <v>11</v>
      </c>
      <c r="I94" s="4">
        <f t="shared" si="11"/>
        <v>1500</v>
      </c>
      <c r="J94" s="4">
        <f t="shared" si="12"/>
        <v>16500</v>
      </c>
    </row>
    <row r="95" spans="1:10" x14ac:dyDescent="0.25">
      <c r="A95" s="3">
        <v>8</v>
      </c>
      <c r="B95" t="s">
        <v>91</v>
      </c>
      <c r="C95" s="3">
        <v>14</v>
      </c>
      <c r="D95" s="3"/>
      <c r="E95" s="3">
        <f t="shared" si="9"/>
        <v>14</v>
      </c>
      <c r="F95" s="4">
        <v>3350</v>
      </c>
      <c r="G95" s="4">
        <f t="shared" si="10"/>
        <v>46900</v>
      </c>
      <c r="H95" s="3">
        <v>12</v>
      </c>
      <c r="I95" s="4">
        <f t="shared" si="11"/>
        <v>3350</v>
      </c>
      <c r="J95" s="4">
        <f t="shared" si="12"/>
        <v>40200</v>
      </c>
    </row>
    <row r="96" spans="1:10" x14ac:dyDescent="0.25">
      <c r="A96" s="3">
        <v>9</v>
      </c>
      <c r="B96" t="s">
        <v>92</v>
      </c>
      <c r="C96" s="3">
        <v>2</v>
      </c>
      <c r="D96" s="3"/>
      <c r="E96" s="3">
        <f t="shared" si="9"/>
        <v>2</v>
      </c>
      <c r="F96" s="4">
        <v>23000</v>
      </c>
      <c r="G96" s="4">
        <f t="shared" si="10"/>
        <v>46000</v>
      </c>
      <c r="H96" s="3">
        <v>1</v>
      </c>
      <c r="I96" s="4">
        <f t="shared" si="11"/>
        <v>23000</v>
      </c>
      <c r="J96" s="4">
        <f t="shared" si="12"/>
        <v>23000</v>
      </c>
    </row>
    <row r="97" spans="1:10" x14ac:dyDescent="0.25">
      <c r="A97" s="3">
        <v>10</v>
      </c>
      <c r="B97" t="s">
        <v>93</v>
      </c>
      <c r="C97" s="3">
        <v>6</v>
      </c>
      <c r="D97" s="3"/>
      <c r="E97" s="3">
        <f t="shared" si="9"/>
        <v>6</v>
      </c>
      <c r="F97" s="4">
        <v>9000</v>
      </c>
      <c r="G97" s="4">
        <f t="shared" si="10"/>
        <v>54000</v>
      </c>
      <c r="H97" s="3">
        <v>4</v>
      </c>
      <c r="I97" s="4">
        <f t="shared" si="11"/>
        <v>9000</v>
      </c>
      <c r="J97" s="4">
        <f t="shared" si="12"/>
        <v>36000</v>
      </c>
    </row>
    <row r="98" spans="1:10" x14ac:dyDescent="0.25">
      <c r="A98" s="3">
        <v>11</v>
      </c>
      <c r="B98" t="s">
        <v>94</v>
      </c>
      <c r="C98" s="3">
        <v>1</v>
      </c>
      <c r="D98" s="3"/>
      <c r="E98" s="3">
        <f t="shared" si="9"/>
        <v>1</v>
      </c>
      <c r="F98" s="4">
        <v>6000</v>
      </c>
      <c r="G98" s="4">
        <f t="shared" si="10"/>
        <v>6000</v>
      </c>
      <c r="H98" s="3">
        <v>0.5</v>
      </c>
      <c r="I98" s="4">
        <f t="shared" si="11"/>
        <v>6000</v>
      </c>
      <c r="J98" s="4">
        <f t="shared" si="12"/>
        <v>3000</v>
      </c>
    </row>
    <row r="99" spans="1:10" x14ac:dyDescent="0.25">
      <c r="A99" s="3">
        <v>12</v>
      </c>
      <c r="B99" t="s">
        <v>95</v>
      </c>
      <c r="C99" s="3"/>
      <c r="D99" s="3"/>
      <c r="E99" s="3">
        <f t="shared" si="9"/>
        <v>0</v>
      </c>
      <c r="F99" s="4"/>
      <c r="G99" s="4">
        <f t="shared" si="10"/>
        <v>0</v>
      </c>
      <c r="H99" s="3"/>
      <c r="I99" s="4">
        <f t="shared" si="11"/>
        <v>0</v>
      </c>
      <c r="J99" s="4">
        <f t="shared" si="12"/>
        <v>0</v>
      </c>
    </row>
    <row r="100" spans="1:10" x14ac:dyDescent="0.25">
      <c r="A100" s="3">
        <v>13</v>
      </c>
      <c r="B100" t="s">
        <v>96</v>
      </c>
      <c r="C100" s="3">
        <v>2</v>
      </c>
      <c r="D100" s="3">
        <v>10</v>
      </c>
      <c r="E100" s="3">
        <f t="shared" si="9"/>
        <v>12</v>
      </c>
      <c r="F100" s="4">
        <v>3300</v>
      </c>
      <c r="G100" s="4">
        <f t="shared" si="10"/>
        <v>39600</v>
      </c>
      <c r="H100" s="3">
        <v>10</v>
      </c>
      <c r="I100" s="4">
        <f t="shared" si="11"/>
        <v>3300</v>
      </c>
      <c r="J100" s="4">
        <f t="shared" si="12"/>
        <v>33000</v>
      </c>
    </row>
    <row r="101" spans="1:10" x14ac:dyDescent="0.25">
      <c r="A101" s="3">
        <v>14</v>
      </c>
      <c r="B101" t="s">
        <v>97</v>
      </c>
      <c r="C101" s="3"/>
      <c r="D101" s="3"/>
      <c r="E101" s="3">
        <f t="shared" si="9"/>
        <v>0</v>
      </c>
      <c r="F101" s="4"/>
      <c r="G101" s="4">
        <f t="shared" si="10"/>
        <v>0</v>
      </c>
      <c r="H101" s="3"/>
      <c r="I101" s="4">
        <f t="shared" si="11"/>
        <v>0</v>
      </c>
      <c r="J101" s="4">
        <f t="shared" si="12"/>
        <v>0</v>
      </c>
    </row>
    <row r="102" spans="1:10" x14ac:dyDescent="0.25">
      <c r="A102" s="3">
        <v>15</v>
      </c>
      <c r="B102" t="s">
        <v>98</v>
      </c>
      <c r="C102" s="3"/>
      <c r="D102" s="3"/>
      <c r="E102" s="3">
        <f t="shared" si="9"/>
        <v>0</v>
      </c>
      <c r="F102" s="4"/>
      <c r="G102" s="4">
        <f t="shared" si="10"/>
        <v>0</v>
      </c>
      <c r="H102" s="3"/>
      <c r="I102" s="4">
        <f t="shared" si="11"/>
        <v>0</v>
      </c>
      <c r="J102" s="4">
        <f t="shared" si="12"/>
        <v>0</v>
      </c>
    </row>
    <row r="103" spans="1:10" x14ac:dyDescent="0.25">
      <c r="A103" s="3">
        <v>16</v>
      </c>
      <c r="B103" t="s">
        <v>99</v>
      </c>
      <c r="C103" s="3"/>
      <c r="D103" s="3"/>
      <c r="E103" s="3">
        <f t="shared" si="9"/>
        <v>0</v>
      </c>
      <c r="F103" s="4"/>
      <c r="G103" s="4">
        <f t="shared" si="10"/>
        <v>0</v>
      </c>
      <c r="H103" s="3"/>
      <c r="I103" s="4">
        <f t="shared" si="11"/>
        <v>0</v>
      </c>
      <c r="J103" s="4">
        <f t="shared" si="12"/>
        <v>0</v>
      </c>
    </row>
    <row r="104" spans="1:10" x14ac:dyDescent="0.25">
      <c r="A104" s="3">
        <v>17</v>
      </c>
      <c r="B104" t="s">
        <v>100</v>
      </c>
      <c r="C104" s="3"/>
      <c r="D104" s="3"/>
      <c r="E104" s="3">
        <f t="shared" si="9"/>
        <v>0</v>
      </c>
      <c r="F104" s="4"/>
      <c r="G104" s="4">
        <f t="shared" si="10"/>
        <v>0</v>
      </c>
      <c r="H104" s="3"/>
      <c r="I104" s="4">
        <f t="shared" si="11"/>
        <v>0</v>
      </c>
      <c r="J104" s="4">
        <f t="shared" si="12"/>
        <v>0</v>
      </c>
    </row>
    <row r="105" spans="1:10" x14ac:dyDescent="0.25">
      <c r="A105" s="3">
        <v>18</v>
      </c>
      <c r="B105" t="s">
        <v>101</v>
      </c>
      <c r="C105" s="3"/>
      <c r="D105" s="3"/>
      <c r="E105" s="3">
        <f t="shared" si="9"/>
        <v>0</v>
      </c>
      <c r="F105" s="4"/>
      <c r="G105" s="4">
        <f t="shared" si="10"/>
        <v>0</v>
      </c>
      <c r="H105" s="3"/>
      <c r="I105" s="4">
        <f t="shared" si="11"/>
        <v>0</v>
      </c>
      <c r="J105" s="4">
        <f t="shared" si="12"/>
        <v>0</v>
      </c>
    </row>
    <row r="106" spans="1:10" x14ac:dyDescent="0.25">
      <c r="A106" s="3">
        <v>19</v>
      </c>
      <c r="B106" t="s">
        <v>102</v>
      </c>
      <c r="C106" s="3"/>
      <c r="D106" s="3"/>
      <c r="E106" s="3">
        <f t="shared" si="9"/>
        <v>0</v>
      </c>
      <c r="F106" s="4"/>
      <c r="G106" s="4">
        <f t="shared" si="10"/>
        <v>0</v>
      </c>
      <c r="H106" s="3"/>
      <c r="I106" s="4">
        <f t="shared" si="11"/>
        <v>0</v>
      </c>
      <c r="J106" s="4">
        <f t="shared" si="12"/>
        <v>0</v>
      </c>
    </row>
    <row r="107" spans="1:10" x14ac:dyDescent="0.25">
      <c r="A107" s="3">
        <v>20</v>
      </c>
      <c r="B107" t="s">
        <v>103</v>
      </c>
      <c r="C107" s="3"/>
      <c r="D107" s="3">
        <v>1</v>
      </c>
      <c r="E107" s="3">
        <f t="shared" si="9"/>
        <v>1</v>
      </c>
      <c r="F107" s="4">
        <v>6000</v>
      </c>
      <c r="G107" s="4">
        <f t="shared" si="10"/>
        <v>6000</v>
      </c>
      <c r="H107" s="3"/>
      <c r="I107" s="4">
        <f t="shared" si="11"/>
        <v>6000</v>
      </c>
      <c r="J107" s="4">
        <f t="shared" si="12"/>
        <v>0</v>
      </c>
    </row>
    <row r="108" spans="1:10" x14ac:dyDescent="0.25">
      <c r="A108" s="3">
        <v>21</v>
      </c>
      <c r="B108" t="s">
        <v>104</v>
      </c>
      <c r="C108" s="3"/>
      <c r="D108" s="3">
        <v>1</v>
      </c>
      <c r="E108" s="3">
        <f t="shared" si="9"/>
        <v>1</v>
      </c>
      <c r="F108" s="4">
        <v>8000</v>
      </c>
      <c r="G108" s="4">
        <f t="shared" si="10"/>
        <v>8000</v>
      </c>
      <c r="H108" s="3"/>
      <c r="I108" s="4">
        <f t="shared" si="11"/>
        <v>8000</v>
      </c>
      <c r="J108" s="4">
        <f t="shared" si="12"/>
        <v>0</v>
      </c>
    </row>
    <row r="109" spans="1:10" x14ac:dyDescent="0.25">
      <c r="A109" s="3">
        <v>22</v>
      </c>
      <c r="B109" t="s">
        <v>105</v>
      </c>
      <c r="C109" s="3">
        <v>4</v>
      </c>
      <c r="D109" s="3"/>
      <c r="E109" s="3">
        <f t="shared" si="9"/>
        <v>4</v>
      </c>
      <c r="F109" s="4"/>
      <c r="G109" s="4">
        <f t="shared" si="10"/>
        <v>0</v>
      </c>
      <c r="H109" s="3">
        <v>2</v>
      </c>
      <c r="I109" s="4">
        <f t="shared" si="11"/>
        <v>0</v>
      </c>
      <c r="J109" s="4">
        <f t="shared" si="12"/>
        <v>0</v>
      </c>
    </row>
    <row r="110" spans="1:10" x14ac:dyDescent="0.25">
      <c r="A110" s="3">
        <v>23</v>
      </c>
      <c r="B110" t="s">
        <v>106</v>
      </c>
      <c r="C110" s="3"/>
      <c r="D110" s="3"/>
      <c r="E110" s="3">
        <f t="shared" si="9"/>
        <v>0</v>
      </c>
      <c r="F110" s="4">
        <v>4000</v>
      </c>
      <c r="G110" s="4">
        <f t="shared" si="10"/>
        <v>0</v>
      </c>
      <c r="H110" s="3"/>
      <c r="I110" s="4">
        <f t="shared" si="11"/>
        <v>4000</v>
      </c>
      <c r="J110" s="4">
        <f t="shared" si="12"/>
        <v>0</v>
      </c>
    </row>
    <row r="111" spans="1:10" x14ac:dyDescent="0.25">
      <c r="A111" s="3">
        <v>24</v>
      </c>
      <c r="B111" t="s">
        <v>107</v>
      </c>
      <c r="C111" s="3">
        <v>4</v>
      </c>
      <c r="D111" s="3"/>
      <c r="E111" s="3">
        <f t="shared" si="9"/>
        <v>4</v>
      </c>
      <c r="F111" s="4">
        <v>24000</v>
      </c>
      <c r="G111" s="4">
        <f t="shared" si="10"/>
        <v>96000</v>
      </c>
      <c r="H111" s="3"/>
      <c r="I111" s="4">
        <f t="shared" si="11"/>
        <v>24000</v>
      </c>
      <c r="J111" s="4">
        <f t="shared" si="12"/>
        <v>0</v>
      </c>
    </row>
    <row r="112" spans="1:10" x14ac:dyDescent="0.25">
      <c r="A112" s="3">
        <v>25</v>
      </c>
      <c r="B112" t="s">
        <v>114</v>
      </c>
      <c r="C112" s="3"/>
      <c r="D112" s="3">
        <v>10</v>
      </c>
      <c r="E112" s="3">
        <f t="shared" si="9"/>
        <v>10</v>
      </c>
      <c r="F112" s="4">
        <v>6000</v>
      </c>
      <c r="G112" s="4">
        <f t="shared" si="10"/>
        <v>60000</v>
      </c>
      <c r="H112" s="3"/>
      <c r="I112" s="4">
        <f t="shared" si="11"/>
        <v>6000</v>
      </c>
      <c r="J112" s="4">
        <f t="shared" si="12"/>
        <v>0</v>
      </c>
    </row>
    <row r="113" spans="1:10" x14ac:dyDescent="0.25">
      <c r="A113" s="3">
        <v>26</v>
      </c>
      <c r="C113" s="3"/>
      <c r="D113" s="3"/>
      <c r="E113" s="3">
        <f t="shared" si="9"/>
        <v>0</v>
      </c>
      <c r="F113" s="4"/>
      <c r="G113" s="4">
        <f t="shared" si="10"/>
        <v>0</v>
      </c>
      <c r="H113" s="3"/>
      <c r="I113" s="4">
        <f t="shared" si="11"/>
        <v>0</v>
      </c>
      <c r="J113" s="4">
        <f t="shared" si="12"/>
        <v>0</v>
      </c>
    </row>
    <row r="114" spans="1:10" x14ac:dyDescent="0.25">
      <c r="A114" s="3">
        <v>27</v>
      </c>
      <c r="C114" s="3"/>
      <c r="D114" s="3"/>
      <c r="E114" s="3">
        <f t="shared" si="9"/>
        <v>0</v>
      </c>
      <c r="F114" s="4"/>
      <c r="G114" s="4">
        <f t="shared" si="10"/>
        <v>0</v>
      </c>
      <c r="H114" s="3"/>
      <c r="I114" s="4">
        <f t="shared" si="11"/>
        <v>0</v>
      </c>
      <c r="J114" s="4">
        <f t="shared" si="12"/>
        <v>0</v>
      </c>
    </row>
    <row r="115" spans="1:10" x14ac:dyDescent="0.25">
      <c r="A115" s="3">
        <v>28</v>
      </c>
      <c r="C115" s="3"/>
      <c r="D115" s="3"/>
      <c r="E115" s="3">
        <f t="shared" si="9"/>
        <v>0</v>
      </c>
      <c r="F115" s="4"/>
      <c r="G115" s="4">
        <f t="shared" si="10"/>
        <v>0</v>
      </c>
      <c r="H115" s="3"/>
      <c r="I115" s="4">
        <f t="shared" si="11"/>
        <v>0</v>
      </c>
      <c r="J115" s="4">
        <f t="shared" si="12"/>
        <v>0</v>
      </c>
    </row>
    <row r="116" spans="1:10" x14ac:dyDescent="0.25">
      <c r="A116" s="3">
        <v>29</v>
      </c>
      <c r="C116" s="3"/>
      <c r="D116" s="3"/>
      <c r="E116" s="3">
        <f t="shared" si="9"/>
        <v>0</v>
      </c>
      <c r="F116" s="4"/>
      <c r="G116" s="4">
        <f t="shared" si="10"/>
        <v>0</v>
      </c>
      <c r="H116" s="3"/>
      <c r="I116" s="4">
        <f t="shared" si="11"/>
        <v>0</v>
      </c>
      <c r="J116" s="4">
        <f t="shared" si="12"/>
        <v>0</v>
      </c>
    </row>
    <row r="117" spans="1:10" x14ac:dyDescent="0.25">
      <c r="A117" s="3">
        <v>30</v>
      </c>
      <c r="C117" s="3"/>
      <c r="D117" s="3"/>
      <c r="E117" s="3">
        <f t="shared" si="9"/>
        <v>0</v>
      </c>
      <c r="F117" s="4"/>
      <c r="G117" s="4">
        <f t="shared" si="10"/>
        <v>0</v>
      </c>
      <c r="H117" s="3"/>
      <c r="I117" s="4">
        <f t="shared" si="11"/>
        <v>0</v>
      </c>
      <c r="J117" s="4">
        <f t="shared" si="12"/>
        <v>0</v>
      </c>
    </row>
    <row r="118" spans="1:10" x14ac:dyDescent="0.25">
      <c r="A118" s="3">
        <v>31</v>
      </c>
      <c r="C118" s="3"/>
      <c r="D118" s="3"/>
      <c r="E118" s="3">
        <f t="shared" si="9"/>
        <v>0</v>
      </c>
      <c r="F118" s="4"/>
      <c r="G118" s="4">
        <f t="shared" si="10"/>
        <v>0</v>
      </c>
      <c r="H118" s="3"/>
      <c r="I118" s="4">
        <f t="shared" si="11"/>
        <v>0</v>
      </c>
      <c r="J118" s="4">
        <f t="shared" si="12"/>
        <v>0</v>
      </c>
    </row>
    <row r="119" spans="1:10" x14ac:dyDescent="0.25">
      <c r="A119" s="3">
        <v>32</v>
      </c>
      <c r="C119" s="3"/>
      <c r="D119" s="3"/>
      <c r="E119" s="3">
        <f t="shared" si="9"/>
        <v>0</v>
      </c>
      <c r="F119" s="4"/>
      <c r="G119" s="4">
        <f t="shared" si="10"/>
        <v>0</v>
      </c>
      <c r="H119" s="3"/>
      <c r="I119" s="4">
        <f t="shared" si="11"/>
        <v>0</v>
      </c>
      <c r="J119" s="4">
        <f t="shared" si="12"/>
        <v>0</v>
      </c>
    </row>
    <row r="120" spans="1:10" x14ac:dyDescent="0.25">
      <c r="A120" s="7" t="s">
        <v>77</v>
      </c>
      <c r="B120" s="7"/>
      <c r="C120" s="7"/>
      <c r="D120" s="7"/>
      <c r="E120" s="7"/>
      <c r="F120" s="7"/>
      <c r="G120" s="5">
        <f>SUM(G88:G119)</f>
        <v>522050</v>
      </c>
      <c r="H120" s="5"/>
      <c r="I120" s="5"/>
      <c r="J120" s="5">
        <f t="shared" ref="J120" si="13">SUM(J88:J119)</f>
        <v>244650</v>
      </c>
    </row>
    <row r="121" spans="1:10" x14ac:dyDescent="0.25">
      <c r="C121" s="3"/>
      <c r="D121" s="3"/>
      <c r="E121" s="3"/>
      <c r="F121" s="4"/>
      <c r="G121" s="4"/>
      <c r="H121" s="3"/>
      <c r="I121" s="4"/>
      <c r="J121" s="4"/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A123" s="8" t="s">
        <v>108</v>
      </c>
      <c r="B123" s="8"/>
      <c r="C123" s="8"/>
      <c r="D123" s="8"/>
      <c r="E123" s="8"/>
      <c r="F123" s="8"/>
      <c r="G123" s="8"/>
      <c r="H123" s="8"/>
      <c r="I123" s="8"/>
      <c r="J123" s="4">
        <f>J84+J120</f>
        <v>943530</v>
      </c>
    </row>
    <row r="124" spans="1:10" x14ac:dyDescent="0.25">
      <c r="C124" s="3"/>
      <c r="D124" s="3"/>
      <c r="E124" s="3"/>
      <c r="F124" s="4"/>
      <c r="G124" s="4"/>
      <c r="H124" s="3"/>
      <c r="I124" s="4"/>
      <c r="J124" s="4"/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</sheetData>
  <mergeCells count="5">
    <mergeCell ref="A1:J1"/>
    <mergeCell ref="A84:F84"/>
    <mergeCell ref="A86:J86"/>
    <mergeCell ref="A120:F120"/>
    <mergeCell ref="A123:I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C8EB-24C4-4CC6-AD9D-E722B2088FD1}">
  <dimension ref="A1:J268"/>
  <sheetViews>
    <sheetView topLeftCell="A55" workbookViewId="0">
      <selection activeCell="C71" sqref="C71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" customWidth="1"/>
    <col min="6" max="6" width="14.7109375" customWidth="1"/>
    <col min="7" max="7" width="15.42578125" customWidth="1"/>
    <col min="8" max="8" width="20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0.5</v>
      </c>
      <c r="E3" s="3">
        <f>C3+D3</f>
        <v>0.5</v>
      </c>
      <c r="F3" s="4">
        <v>36000</v>
      </c>
      <c r="G3" s="4">
        <f>F3*E3</f>
        <v>18000</v>
      </c>
      <c r="H3" s="3">
        <v>0.28000000000000003</v>
      </c>
      <c r="I3" s="4">
        <f>F3</f>
        <v>36000</v>
      </c>
      <c r="J3" s="4">
        <f>I3*H3</f>
        <v>10080.000000000002</v>
      </c>
    </row>
    <row r="4" spans="1:10" x14ac:dyDescent="0.25">
      <c r="A4" s="3">
        <v>2</v>
      </c>
      <c r="B4" t="s">
        <v>10</v>
      </c>
      <c r="C4" s="3"/>
      <c r="D4" s="3">
        <v>0.5</v>
      </c>
      <c r="E4" s="3">
        <f t="shared" ref="E4:E73" si="0">C4+D4</f>
        <v>0.5</v>
      </c>
      <c r="F4" s="4">
        <v>36000</v>
      </c>
      <c r="G4" s="4">
        <f t="shared" ref="G4:G73" si="1">F4*E4</f>
        <v>18000</v>
      </c>
      <c r="H4" s="3">
        <v>0.15</v>
      </c>
      <c r="I4" s="4">
        <f t="shared" ref="I4:I73" si="2">F4</f>
        <v>36000</v>
      </c>
      <c r="J4" s="4">
        <f t="shared" ref="J4:J68" si="3">I4*H4</f>
        <v>5400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/>
      <c r="G6" s="4">
        <f t="shared" si="1"/>
        <v>0</v>
      </c>
      <c r="H6" s="3"/>
      <c r="I6" s="4">
        <f t="shared" si="2"/>
        <v>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/>
      <c r="D7" s="3">
        <v>0.5</v>
      </c>
      <c r="E7" s="3">
        <f t="shared" si="0"/>
        <v>0.5</v>
      </c>
      <c r="F7" s="4">
        <v>36000</v>
      </c>
      <c r="G7" s="4">
        <f t="shared" si="1"/>
        <v>18000</v>
      </c>
      <c r="H7" s="3">
        <v>0.25</v>
      </c>
      <c r="I7" s="4">
        <f t="shared" si="2"/>
        <v>36000</v>
      </c>
      <c r="J7" s="4">
        <f t="shared" si="3"/>
        <v>9000</v>
      </c>
    </row>
    <row r="8" spans="1:10" x14ac:dyDescent="0.25">
      <c r="A8" s="3">
        <v>6</v>
      </c>
      <c r="B8" t="s">
        <v>14</v>
      </c>
      <c r="C8" s="3"/>
      <c r="D8" s="3">
        <v>0.5</v>
      </c>
      <c r="E8" s="3">
        <f t="shared" si="0"/>
        <v>0.5</v>
      </c>
      <c r="F8" s="4">
        <v>50000</v>
      </c>
      <c r="G8" s="4">
        <f t="shared" si="1"/>
        <v>25000</v>
      </c>
      <c r="H8" s="3">
        <v>0.15</v>
      </c>
      <c r="I8" s="4">
        <f t="shared" si="2"/>
        <v>50000</v>
      </c>
      <c r="J8" s="4">
        <f t="shared" si="3"/>
        <v>7500</v>
      </c>
    </row>
    <row r="9" spans="1:10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/>
      <c r="I9" s="4">
        <f t="shared" si="2"/>
        <v>13000</v>
      </c>
      <c r="J9" s="4">
        <f t="shared" si="3"/>
        <v>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>
        <v>0.5</v>
      </c>
      <c r="E19" s="3">
        <f t="shared" si="0"/>
        <v>0.5</v>
      </c>
      <c r="F19" s="4">
        <v>20000</v>
      </c>
      <c r="G19" s="4">
        <f t="shared" si="1"/>
        <v>10000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/>
      <c r="D20" s="3"/>
      <c r="E20" s="3">
        <f t="shared" si="0"/>
        <v>0</v>
      </c>
      <c r="F20" s="4">
        <v>11000</v>
      </c>
      <c r="G20" s="4">
        <f t="shared" si="1"/>
        <v>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0.46</v>
      </c>
      <c r="D22" s="3"/>
      <c r="E22" s="3">
        <f t="shared" si="0"/>
        <v>0.46</v>
      </c>
      <c r="F22" s="4">
        <v>15000</v>
      </c>
      <c r="G22" s="4">
        <f t="shared" si="1"/>
        <v>6900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1.0900000000000001</v>
      </c>
      <c r="D23" s="3">
        <v>2</v>
      </c>
      <c r="E23" s="3">
        <f t="shared" si="0"/>
        <v>3.09</v>
      </c>
      <c r="F23" s="4">
        <v>8000</v>
      </c>
      <c r="G23" s="4">
        <f>F23*E23</f>
        <v>24720</v>
      </c>
      <c r="H23" s="3">
        <v>1.41</v>
      </c>
      <c r="I23" s="4">
        <f t="shared" si="2"/>
        <v>8000</v>
      </c>
      <c r="J23" s="4">
        <f t="shared" si="3"/>
        <v>11280</v>
      </c>
    </row>
    <row r="24" spans="1:10" x14ac:dyDescent="0.25">
      <c r="A24" s="3">
        <v>22</v>
      </c>
      <c r="B24" t="s">
        <v>29</v>
      </c>
      <c r="C24" s="3">
        <v>0.31</v>
      </c>
      <c r="D24" s="3"/>
      <c r="E24" s="3">
        <f t="shared" si="0"/>
        <v>0.31</v>
      </c>
      <c r="F24" s="4">
        <v>8000</v>
      </c>
      <c r="G24" s="4">
        <f t="shared" si="1"/>
        <v>2480</v>
      </c>
      <c r="H24" s="3">
        <v>0.18</v>
      </c>
      <c r="I24" s="4">
        <f t="shared" si="2"/>
        <v>8000</v>
      </c>
      <c r="J24" s="4">
        <f t="shared" si="3"/>
        <v>1440</v>
      </c>
    </row>
    <row r="25" spans="1:10" x14ac:dyDescent="0.25">
      <c r="A25" s="3">
        <v>23</v>
      </c>
      <c r="B25" t="s">
        <v>30</v>
      </c>
      <c r="C25" s="3">
        <v>1</v>
      </c>
      <c r="D25" s="3">
        <v>3</v>
      </c>
      <c r="E25" s="3">
        <f t="shared" si="0"/>
        <v>4</v>
      </c>
      <c r="F25" s="4">
        <v>3000</v>
      </c>
      <c r="G25" s="4">
        <f t="shared" si="1"/>
        <v>12000</v>
      </c>
      <c r="H25" s="3">
        <v>2</v>
      </c>
      <c r="I25" s="4">
        <f t="shared" si="2"/>
        <v>3000</v>
      </c>
      <c r="J25" s="4">
        <f t="shared" si="3"/>
        <v>6000</v>
      </c>
    </row>
    <row r="26" spans="1:10" x14ac:dyDescent="0.25">
      <c r="A26" s="3">
        <v>24</v>
      </c>
      <c r="B26" t="s">
        <v>31</v>
      </c>
      <c r="C26" s="3">
        <v>0.42</v>
      </c>
      <c r="D26" s="3">
        <v>1</v>
      </c>
      <c r="E26" s="3">
        <f t="shared" si="0"/>
        <v>1.42</v>
      </c>
      <c r="F26" s="4">
        <v>11500</v>
      </c>
      <c r="G26" s="4">
        <f t="shared" si="1"/>
        <v>16330</v>
      </c>
      <c r="H26" s="3">
        <v>0.48</v>
      </c>
      <c r="I26" s="4">
        <f t="shared" si="2"/>
        <v>11500</v>
      </c>
      <c r="J26" s="4">
        <f t="shared" si="3"/>
        <v>5520</v>
      </c>
    </row>
    <row r="27" spans="1:10" x14ac:dyDescent="0.25">
      <c r="A27" s="3">
        <v>25</v>
      </c>
      <c r="B27" t="s">
        <v>32</v>
      </c>
      <c r="C27" s="3"/>
      <c r="D27" s="3">
        <v>1</v>
      </c>
      <c r="E27" s="3">
        <f t="shared" si="0"/>
        <v>1</v>
      </c>
      <c r="F27" s="4">
        <v>8500</v>
      </c>
      <c r="G27" s="4">
        <f t="shared" si="1"/>
        <v>8500</v>
      </c>
      <c r="H27" s="3">
        <v>0.52</v>
      </c>
      <c r="I27" s="4">
        <f t="shared" si="2"/>
        <v>8500</v>
      </c>
      <c r="J27" s="4">
        <f t="shared" si="3"/>
        <v>4420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/>
      <c r="G28" s="4">
        <f t="shared" si="1"/>
        <v>0</v>
      </c>
      <c r="H28" s="3"/>
      <c r="I28" s="4">
        <f t="shared" si="2"/>
        <v>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/>
      <c r="E29" s="3">
        <f t="shared" si="0"/>
        <v>0</v>
      </c>
      <c r="F29" s="4">
        <v>24000</v>
      </c>
      <c r="G29" s="4">
        <f t="shared" si="1"/>
        <v>0</v>
      </c>
      <c r="H29" s="3">
        <v>0.19</v>
      </c>
      <c r="I29" s="4">
        <f t="shared" si="2"/>
        <v>24000</v>
      </c>
      <c r="J29" s="4">
        <f t="shared" si="3"/>
        <v>4560</v>
      </c>
    </row>
    <row r="30" spans="1:10" x14ac:dyDescent="0.25">
      <c r="A30" s="3">
        <v>28</v>
      </c>
      <c r="B30" t="s">
        <v>35</v>
      </c>
      <c r="C30" s="3"/>
      <c r="D30" s="3">
        <v>1</v>
      </c>
      <c r="E30" s="3">
        <f t="shared" si="0"/>
        <v>1</v>
      </c>
      <c r="F30" s="4">
        <v>12000</v>
      </c>
      <c r="G30" s="4">
        <f t="shared" si="1"/>
        <v>12000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/>
      <c r="G33" s="4">
        <f t="shared" si="1"/>
        <v>0</v>
      </c>
      <c r="H33" s="3"/>
      <c r="I33" s="4">
        <f t="shared" si="2"/>
        <v>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3</v>
      </c>
      <c r="D34" s="3">
        <v>4</v>
      </c>
      <c r="E34" s="3">
        <f t="shared" si="0"/>
        <v>7</v>
      </c>
      <c r="F34" s="4">
        <v>17500</v>
      </c>
      <c r="G34" s="4">
        <f t="shared" si="1"/>
        <v>122500</v>
      </c>
      <c r="H34" s="3">
        <v>3</v>
      </c>
      <c r="I34" s="4">
        <f t="shared" si="2"/>
        <v>17500</v>
      </c>
      <c r="J34" s="4">
        <f t="shared" si="3"/>
        <v>52500</v>
      </c>
    </row>
    <row r="35" spans="1:10" x14ac:dyDescent="0.25">
      <c r="A35" s="3">
        <v>33</v>
      </c>
      <c r="B35" t="s">
        <v>40</v>
      </c>
      <c r="C35" s="3">
        <v>1.5</v>
      </c>
      <c r="D35" s="3">
        <v>1</v>
      </c>
      <c r="E35" s="3">
        <f t="shared" si="0"/>
        <v>2.5</v>
      </c>
      <c r="F35" s="4">
        <v>3000</v>
      </c>
      <c r="G35" s="4">
        <f t="shared" si="1"/>
        <v>7500</v>
      </c>
      <c r="H35" s="3">
        <v>1</v>
      </c>
      <c r="I35" s="4">
        <f t="shared" si="2"/>
        <v>3000</v>
      </c>
      <c r="J35" s="4">
        <f t="shared" si="3"/>
        <v>3000</v>
      </c>
    </row>
    <row r="36" spans="1:10" x14ac:dyDescent="0.25">
      <c r="A36" s="3">
        <v>34</v>
      </c>
      <c r="B36" t="s">
        <v>41</v>
      </c>
      <c r="C36" s="3">
        <v>2</v>
      </c>
      <c r="D36" s="3">
        <v>1</v>
      </c>
      <c r="E36" s="3">
        <f t="shared" si="0"/>
        <v>3</v>
      </c>
      <c r="F36" s="4">
        <v>11000</v>
      </c>
      <c r="G36" s="4">
        <f t="shared" si="1"/>
        <v>33000</v>
      </c>
      <c r="H36" s="3">
        <v>2</v>
      </c>
      <c r="I36" s="4">
        <f t="shared" si="2"/>
        <v>11000</v>
      </c>
      <c r="J36" s="4">
        <f t="shared" si="3"/>
        <v>22000</v>
      </c>
    </row>
    <row r="37" spans="1:10" x14ac:dyDescent="0.25">
      <c r="A37" s="3">
        <v>35</v>
      </c>
      <c r="B37" t="s">
        <v>42</v>
      </c>
      <c r="C37" s="3">
        <v>14</v>
      </c>
      <c r="D37" s="3"/>
      <c r="E37" s="3">
        <f t="shared" si="0"/>
        <v>14</v>
      </c>
      <c r="F37" s="4">
        <v>600</v>
      </c>
      <c r="G37" s="4">
        <f t="shared" si="1"/>
        <v>8400</v>
      </c>
      <c r="H37" s="3">
        <v>10</v>
      </c>
      <c r="I37" s="4">
        <f t="shared" si="2"/>
        <v>600</v>
      </c>
      <c r="J37" s="4">
        <f t="shared" si="3"/>
        <v>6000</v>
      </c>
    </row>
    <row r="38" spans="1:10" x14ac:dyDescent="0.25">
      <c r="A38" s="3">
        <v>36</v>
      </c>
      <c r="B38" t="s">
        <v>43</v>
      </c>
      <c r="C38" s="3">
        <v>12</v>
      </c>
      <c r="D38" s="3"/>
      <c r="E38" s="3">
        <f t="shared" si="0"/>
        <v>12</v>
      </c>
      <c r="F38" s="4">
        <v>600</v>
      </c>
      <c r="G38" s="4">
        <f t="shared" si="1"/>
        <v>7200</v>
      </c>
      <c r="H38" s="3">
        <v>3</v>
      </c>
      <c r="I38" s="4">
        <f t="shared" si="2"/>
        <v>600</v>
      </c>
      <c r="J38" s="4">
        <f t="shared" si="3"/>
        <v>1800</v>
      </c>
    </row>
    <row r="39" spans="1:10" x14ac:dyDescent="0.25">
      <c r="A39" s="3">
        <v>37</v>
      </c>
      <c r="B39" t="s">
        <v>44</v>
      </c>
      <c r="C39" s="3">
        <v>23</v>
      </c>
      <c r="D39" s="3"/>
      <c r="E39" s="3">
        <f t="shared" si="0"/>
        <v>23</v>
      </c>
      <c r="F39" s="4">
        <v>1200</v>
      </c>
      <c r="G39" s="4">
        <f t="shared" si="1"/>
        <v>27600</v>
      </c>
      <c r="H39" s="3">
        <v>18</v>
      </c>
      <c r="I39" s="4">
        <f t="shared" si="2"/>
        <v>1200</v>
      </c>
      <c r="J39" s="4">
        <f t="shared" si="3"/>
        <v>21600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1.5</v>
      </c>
      <c r="D41" s="3">
        <v>2</v>
      </c>
      <c r="E41" s="3">
        <f t="shared" si="0"/>
        <v>3.5</v>
      </c>
      <c r="F41" s="4">
        <v>83000</v>
      </c>
      <c r="G41" s="4">
        <f t="shared" si="1"/>
        <v>290500</v>
      </c>
      <c r="H41" s="3">
        <v>2</v>
      </c>
      <c r="I41" s="4">
        <f t="shared" si="2"/>
        <v>83000</v>
      </c>
      <c r="J41" s="4">
        <f t="shared" si="3"/>
        <v>166000</v>
      </c>
    </row>
    <row r="42" spans="1:10" x14ac:dyDescent="0.25">
      <c r="A42" s="3">
        <v>40</v>
      </c>
      <c r="B42" t="s">
        <v>47</v>
      </c>
      <c r="C42" s="3">
        <v>1</v>
      </c>
      <c r="D42" s="3">
        <v>4</v>
      </c>
      <c r="E42" s="3">
        <f t="shared" si="0"/>
        <v>5</v>
      </c>
      <c r="F42" s="4">
        <v>21000</v>
      </c>
      <c r="G42" s="4">
        <f t="shared" si="1"/>
        <v>105000</v>
      </c>
      <c r="H42" s="3">
        <v>1</v>
      </c>
      <c r="I42" s="4">
        <f t="shared" si="2"/>
        <v>21000</v>
      </c>
      <c r="J42" s="4">
        <f t="shared" si="3"/>
        <v>21000</v>
      </c>
    </row>
    <row r="43" spans="1:10" x14ac:dyDescent="0.25">
      <c r="A43" s="3">
        <v>41</v>
      </c>
      <c r="B43" t="s">
        <v>48</v>
      </c>
      <c r="C43" s="3">
        <v>2.25</v>
      </c>
      <c r="D43" s="3"/>
      <c r="E43" s="3">
        <f t="shared" si="0"/>
        <v>2.25</v>
      </c>
      <c r="F43" s="4">
        <v>25000</v>
      </c>
      <c r="G43" s="4">
        <f t="shared" si="1"/>
        <v>56250</v>
      </c>
      <c r="H43" s="3">
        <v>1.75</v>
      </c>
      <c r="I43" s="4">
        <f t="shared" si="2"/>
        <v>25000</v>
      </c>
      <c r="J43" s="4">
        <f t="shared" si="3"/>
        <v>43750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>
        <v>3</v>
      </c>
      <c r="E45" s="3">
        <f t="shared" si="0"/>
        <v>5</v>
      </c>
      <c r="F45" s="4">
        <v>15500</v>
      </c>
      <c r="G45" s="4">
        <f t="shared" si="1"/>
        <v>77500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4</v>
      </c>
      <c r="D49" s="3">
        <v>6</v>
      </c>
      <c r="E49" s="3">
        <f t="shared" si="0"/>
        <v>10</v>
      </c>
      <c r="F49" s="4">
        <v>6000</v>
      </c>
      <c r="G49" s="4">
        <f t="shared" si="1"/>
        <v>60000</v>
      </c>
      <c r="H49" s="3">
        <v>2</v>
      </c>
      <c r="I49" s="4">
        <f t="shared" si="2"/>
        <v>6000</v>
      </c>
      <c r="J49" s="4">
        <f t="shared" si="3"/>
        <v>12000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/>
      <c r="D51" s="3">
        <v>2</v>
      </c>
      <c r="E51" s="3">
        <f t="shared" si="0"/>
        <v>2</v>
      </c>
      <c r="F51" s="4">
        <v>12000</v>
      </c>
      <c r="G51" s="4">
        <f>F51*E51</f>
        <v>24000</v>
      </c>
      <c r="H51" s="3">
        <v>0.5</v>
      </c>
      <c r="I51" s="4">
        <f t="shared" si="2"/>
        <v>12000</v>
      </c>
      <c r="J51" s="4">
        <f t="shared" si="3"/>
        <v>6000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>
        <v>5</v>
      </c>
      <c r="E54" s="3">
        <f t="shared" si="0"/>
        <v>5</v>
      </c>
      <c r="F54" s="4">
        <v>6000</v>
      </c>
      <c r="G54" s="4">
        <f t="shared" si="1"/>
        <v>30000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>
        <v>10</v>
      </c>
      <c r="E55" s="3">
        <f t="shared" si="0"/>
        <v>10</v>
      </c>
      <c r="F55" s="4">
        <v>1000</v>
      </c>
      <c r="G55" s="4">
        <f t="shared" si="1"/>
        <v>10000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25</v>
      </c>
      <c r="D61" s="3"/>
      <c r="E61" s="3">
        <f t="shared" si="0"/>
        <v>25</v>
      </c>
      <c r="F61" s="4">
        <v>5250</v>
      </c>
      <c r="G61" s="4">
        <f t="shared" si="1"/>
        <v>131250</v>
      </c>
      <c r="H61" s="3">
        <v>18</v>
      </c>
      <c r="I61" s="4">
        <f t="shared" si="2"/>
        <v>5250</v>
      </c>
      <c r="J61" s="4">
        <f t="shared" si="3"/>
        <v>94500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>
        <v>1</v>
      </c>
      <c r="E63" s="3">
        <f t="shared" si="0"/>
        <v>1</v>
      </c>
      <c r="F63" s="4">
        <v>37000</v>
      </c>
      <c r="G63" s="4">
        <f t="shared" si="1"/>
        <v>37000</v>
      </c>
      <c r="H63" s="3">
        <v>0.4</v>
      </c>
      <c r="I63" s="4">
        <f t="shared" si="2"/>
        <v>37000</v>
      </c>
      <c r="J63" s="4">
        <f t="shared" si="3"/>
        <v>14800</v>
      </c>
    </row>
    <row r="64" spans="1:10" x14ac:dyDescent="0.25">
      <c r="A64" s="3">
        <v>62</v>
      </c>
      <c r="B64" t="s">
        <v>69</v>
      </c>
      <c r="C64" s="3"/>
      <c r="D64" s="3"/>
      <c r="E64" s="3">
        <f t="shared" si="0"/>
        <v>0</v>
      </c>
      <c r="F64" s="4">
        <v>4625</v>
      </c>
      <c r="G64" s="4">
        <f t="shared" si="1"/>
        <v>0</v>
      </c>
      <c r="H64" s="3">
        <v>3</v>
      </c>
      <c r="I64" s="4">
        <f t="shared" si="2"/>
        <v>4625</v>
      </c>
      <c r="J64" s="4">
        <f t="shared" si="3"/>
        <v>13875</v>
      </c>
    </row>
    <row r="65" spans="1:10" x14ac:dyDescent="0.25">
      <c r="A65" s="3">
        <v>63</v>
      </c>
      <c r="B65" t="s">
        <v>70</v>
      </c>
      <c r="C65" s="3">
        <v>6.25</v>
      </c>
      <c r="D65" s="3">
        <v>10</v>
      </c>
      <c r="E65" s="3">
        <f t="shared" si="0"/>
        <v>16.25</v>
      </c>
      <c r="F65" s="4">
        <v>21000</v>
      </c>
      <c r="G65" s="4">
        <f t="shared" si="1"/>
        <v>341250</v>
      </c>
      <c r="H65" s="3">
        <v>11.25</v>
      </c>
      <c r="I65" s="4">
        <f t="shared" si="2"/>
        <v>21000</v>
      </c>
      <c r="J65" s="4">
        <f t="shared" si="3"/>
        <v>236250</v>
      </c>
    </row>
    <row r="66" spans="1:10" x14ac:dyDescent="0.25">
      <c r="A66" s="3">
        <v>64</v>
      </c>
      <c r="B66" t="s">
        <v>115</v>
      </c>
      <c r="C66" s="3"/>
      <c r="D66" s="3">
        <v>1</v>
      </c>
      <c r="E66" s="3">
        <f t="shared" si="0"/>
        <v>1</v>
      </c>
      <c r="F66" s="4">
        <v>100000</v>
      </c>
      <c r="G66" s="4">
        <f t="shared" si="1"/>
        <v>100000</v>
      </c>
      <c r="H66" s="3">
        <v>0.59</v>
      </c>
      <c r="I66" s="4">
        <f t="shared" si="2"/>
        <v>100000</v>
      </c>
      <c r="J66" s="4">
        <f t="shared" si="3"/>
        <v>59000</v>
      </c>
    </row>
    <row r="67" spans="1:10" x14ac:dyDescent="0.25">
      <c r="A67" s="3">
        <v>65</v>
      </c>
      <c r="B67" t="s">
        <v>71</v>
      </c>
      <c r="C67" s="3"/>
      <c r="D67" s="3"/>
      <c r="E67" s="3">
        <f t="shared" si="0"/>
        <v>0</v>
      </c>
      <c r="F67" s="4">
        <v>17500</v>
      </c>
      <c r="G67" s="4">
        <f t="shared" si="1"/>
        <v>0</v>
      </c>
      <c r="H67" s="3"/>
      <c r="I67" s="4">
        <f t="shared" si="2"/>
        <v>17500</v>
      </c>
      <c r="J67" s="4">
        <f t="shared" si="3"/>
        <v>0</v>
      </c>
    </row>
    <row r="68" spans="1:10" x14ac:dyDescent="0.25">
      <c r="A68" s="3">
        <v>66</v>
      </c>
      <c r="B68" t="s">
        <v>72</v>
      </c>
      <c r="C68" s="3">
        <v>2</v>
      </c>
      <c r="D68" s="3"/>
      <c r="E68" s="3">
        <f t="shared" si="0"/>
        <v>2</v>
      </c>
      <c r="F68" s="4">
        <v>8000</v>
      </c>
      <c r="G68" s="4">
        <f t="shared" si="1"/>
        <v>16000</v>
      </c>
      <c r="H68" s="3"/>
      <c r="I68" s="4">
        <f t="shared" si="2"/>
        <v>8000</v>
      </c>
      <c r="J68" s="4">
        <f t="shared" si="3"/>
        <v>0</v>
      </c>
    </row>
    <row r="69" spans="1:10" x14ac:dyDescent="0.25">
      <c r="A69" s="3">
        <v>67</v>
      </c>
      <c r="B69" t="s">
        <v>73</v>
      </c>
      <c r="C69" s="3"/>
      <c r="D69" s="3"/>
      <c r="E69" s="3">
        <f t="shared" si="0"/>
        <v>0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4">I69*H69</f>
        <v>0</v>
      </c>
    </row>
    <row r="70" spans="1:10" x14ac:dyDescent="0.25">
      <c r="A70" s="3">
        <v>68</v>
      </c>
      <c r="B70" t="s">
        <v>74</v>
      </c>
      <c r="C70" s="3">
        <v>1</v>
      </c>
      <c r="D70" s="3"/>
      <c r="E70" s="3">
        <f t="shared" si="0"/>
        <v>1</v>
      </c>
      <c r="F70" s="4">
        <v>24000</v>
      </c>
      <c r="G70" s="4">
        <f t="shared" si="1"/>
        <v>24000</v>
      </c>
      <c r="H70" s="3"/>
      <c r="I70" s="4">
        <f t="shared" si="2"/>
        <v>24000</v>
      </c>
      <c r="J70" s="4">
        <f t="shared" si="4"/>
        <v>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0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4"/>
        <v>0</v>
      </c>
    </row>
    <row r="72" spans="1:10" x14ac:dyDescent="0.25">
      <c r="A72" s="3">
        <v>70</v>
      </c>
      <c r="B72" t="s">
        <v>76</v>
      </c>
      <c r="C72" s="3">
        <v>2.5</v>
      </c>
      <c r="D72" s="3"/>
      <c r="E72" s="3">
        <f t="shared" si="0"/>
        <v>2.5</v>
      </c>
      <c r="F72" s="4">
        <v>15000</v>
      </c>
      <c r="G72" s="4">
        <f>F72*E72</f>
        <v>37500</v>
      </c>
      <c r="H72" s="3">
        <v>0.94</v>
      </c>
      <c r="I72" s="4">
        <f t="shared" si="2"/>
        <v>15000</v>
      </c>
      <c r="J72" s="4">
        <f t="shared" si="4"/>
        <v>14100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0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4"/>
        <v>0</v>
      </c>
    </row>
    <row r="74" spans="1:10" x14ac:dyDescent="0.25">
      <c r="A74" s="3">
        <v>72</v>
      </c>
      <c r="B74" t="s">
        <v>110</v>
      </c>
      <c r="C74" s="3"/>
      <c r="D74" s="3"/>
      <c r="E74" s="3">
        <f t="shared" ref="E74:E83" si="5">C74+D74</f>
        <v>0</v>
      </c>
      <c r="F74" s="4"/>
      <c r="G74" s="4">
        <f t="shared" ref="G74:G83" si="6">F74*E74</f>
        <v>0</v>
      </c>
      <c r="H74" s="3">
        <v>3</v>
      </c>
      <c r="I74" s="4">
        <f t="shared" ref="I74:I83" si="7">F74</f>
        <v>0</v>
      </c>
      <c r="J74" s="4">
        <f t="shared" si="4"/>
        <v>0</v>
      </c>
    </row>
    <row r="75" spans="1:10" x14ac:dyDescent="0.25">
      <c r="A75" s="3">
        <v>73</v>
      </c>
      <c r="B75" t="s">
        <v>111</v>
      </c>
      <c r="C75" s="3"/>
      <c r="D75" s="3">
        <v>28</v>
      </c>
      <c r="E75" s="3">
        <f t="shared" si="5"/>
        <v>28</v>
      </c>
      <c r="F75" s="4"/>
      <c r="G75" s="4">
        <f t="shared" si="6"/>
        <v>0</v>
      </c>
      <c r="H75" s="3">
        <v>23</v>
      </c>
      <c r="I75" s="4">
        <f t="shared" si="7"/>
        <v>0</v>
      </c>
      <c r="J75" s="4">
        <f t="shared" si="4"/>
        <v>0</v>
      </c>
    </row>
    <row r="76" spans="1:10" x14ac:dyDescent="0.25">
      <c r="A76" s="3">
        <v>74</v>
      </c>
      <c r="B76" t="s">
        <v>112</v>
      </c>
      <c r="C76" s="3"/>
      <c r="D76" s="3"/>
      <c r="E76" s="3">
        <f t="shared" si="5"/>
        <v>0</v>
      </c>
      <c r="F76" s="4"/>
      <c r="G76" s="4">
        <f t="shared" si="6"/>
        <v>0</v>
      </c>
      <c r="H76" s="3">
        <v>12</v>
      </c>
      <c r="I76" s="4">
        <f t="shared" si="7"/>
        <v>0</v>
      </c>
      <c r="J76" s="4">
        <f t="shared" si="4"/>
        <v>0</v>
      </c>
    </row>
    <row r="77" spans="1:10" x14ac:dyDescent="0.25">
      <c r="A77" s="3">
        <v>75</v>
      </c>
      <c r="C77" s="3"/>
      <c r="D77" s="3"/>
      <c r="E77" s="3">
        <f t="shared" si="5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4"/>
        <v>0</v>
      </c>
    </row>
    <row r="78" spans="1:10" x14ac:dyDescent="0.25">
      <c r="A78" s="3">
        <v>76</v>
      </c>
      <c r="C78" s="3"/>
      <c r="D78" s="3"/>
      <c r="E78" s="3">
        <f t="shared" si="5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4"/>
        <v>0</v>
      </c>
    </row>
    <row r="79" spans="1:10" x14ac:dyDescent="0.25">
      <c r="A79" s="3">
        <v>77</v>
      </c>
      <c r="C79" s="3"/>
      <c r="D79" s="3"/>
      <c r="E79" s="3">
        <f t="shared" si="5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4"/>
        <v>0</v>
      </c>
    </row>
    <row r="80" spans="1:10" x14ac:dyDescent="0.25">
      <c r="A80" s="3">
        <v>78</v>
      </c>
      <c r="C80" s="3"/>
      <c r="D80" s="3"/>
      <c r="E80" s="3">
        <f t="shared" si="5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4"/>
        <v>0</v>
      </c>
    </row>
    <row r="81" spans="1:10" x14ac:dyDescent="0.25">
      <c r="A81" s="3">
        <v>79</v>
      </c>
      <c r="C81" s="3"/>
      <c r="D81" s="3"/>
      <c r="E81" s="3">
        <f t="shared" si="5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4"/>
        <v>0</v>
      </c>
    </row>
    <row r="82" spans="1:10" x14ac:dyDescent="0.25">
      <c r="A82" s="3">
        <v>80</v>
      </c>
      <c r="C82" s="3"/>
      <c r="D82" s="3"/>
      <c r="E82" s="3">
        <f t="shared" si="5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4"/>
        <v>0</v>
      </c>
    </row>
    <row r="83" spans="1:10" x14ac:dyDescent="0.25">
      <c r="A83" s="3">
        <v>81</v>
      </c>
      <c r="C83" s="3"/>
      <c r="D83" s="3"/>
      <c r="E83" s="3">
        <f t="shared" si="5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4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1731380</v>
      </c>
      <c r="H85" s="5"/>
      <c r="I85" s="5"/>
      <c r="J85" s="5">
        <f t="shared" ref="J85" si="8">SUM(J3:J84)</f>
        <v>884375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/>
      <c r="D89" s="3"/>
      <c r="E89" s="3">
        <f>C89+D89</f>
        <v>0</v>
      </c>
      <c r="F89" s="4">
        <v>1240</v>
      </c>
      <c r="G89" s="4">
        <f>F89*E89</f>
        <v>0</v>
      </c>
      <c r="H89" s="3">
        <v>16</v>
      </c>
      <c r="I89" s="4">
        <f>F89</f>
        <v>1240</v>
      </c>
      <c r="J89" s="4">
        <f>I89*H89</f>
        <v>19840</v>
      </c>
    </row>
    <row r="90" spans="1:10" x14ac:dyDescent="0.25">
      <c r="A90" s="3">
        <v>2</v>
      </c>
      <c r="B90" t="s">
        <v>85</v>
      </c>
      <c r="C90" s="3">
        <v>21</v>
      </c>
      <c r="D90" s="3">
        <v>10</v>
      </c>
      <c r="E90" s="3">
        <f t="shared" ref="E90:E120" si="9">C90+D90</f>
        <v>31</v>
      </c>
      <c r="F90" s="4">
        <v>1000</v>
      </c>
      <c r="G90" s="4">
        <f t="shared" ref="G90:G120" si="10">F90*E90</f>
        <v>31000</v>
      </c>
      <c r="H90" s="3">
        <v>26</v>
      </c>
      <c r="I90" s="4">
        <f t="shared" ref="I90:I120" si="11">F90</f>
        <v>1000</v>
      </c>
      <c r="J90" s="4">
        <f t="shared" ref="J90:J120" si="12">I90*H90</f>
        <v>26000</v>
      </c>
    </row>
    <row r="91" spans="1:10" x14ac:dyDescent="0.25">
      <c r="A91" s="3">
        <v>3</v>
      </c>
      <c r="B91" t="s">
        <v>86</v>
      </c>
      <c r="C91" s="3">
        <v>8</v>
      </c>
      <c r="D91" s="3"/>
      <c r="E91" s="3">
        <f t="shared" si="9"/>
        <v>8</v>
      </c>
      <c r="F91" s="4">
        <v>1650</v>
      </c>
      <c r="G91" s="4">
        <f t="shared" si="10"/>
        <v>13200</v>
      </c>
      <c r="H91" s="3">
        <v>4</v>
      </c>
      <c r="I91" s="4">
        <f t="shared" si="11"/>
        <v>1650</v>
      </c>
      <c r="J91" s="4">
        <f t="shared" si="12"/>
        <v>6600</v>
      </c>
    </row>
    <row r="92" spans="1:10" x14ac:dyDescent="0.25">
      <c r="A92" s="3">
        <v>4</v>
      </c>
      <c r="B92" t="s">
        <v>87</v>
      </c>
      <c r="C92" s="3">
        <v>10</v>
      </c>
      <c r="D92" s="3"/>
      <c r="E92" s="3">
        <f t="shared" si="9"/>
        <v>10</v>
      </c>
      <c r="F92" s="4">
        <v>1650</v>
      </c>
      <c r="G92" s="4">
        <f t="shared" si="10"/>
        <v>16500</v>
      </c>
      <c r="H92" s="3">
        <v>6</v>
      </c>
      <c r="I92" s="4">
        <f t="shared" si="11"/>
        <v>1650</v>
      </c>
      <c r="J92" s="4">
        <f t="shared" si="12"/>
        <v>9900</v>
      </c>
    </row>
    <row r="93" spans="1:10" x14ac:dyDescent="0.25">
      <c r="A93" s="3">
        <v>5</v>
      </c>
      <c r="B93" t="s">
        <v>88</v>
      </c>
      <c r="C93" s="3">
        <v>13</v>
      </c>
      <c r="D93" s="3"/>
      <c r="E93" s="3">
        <f t="shared" si="9"/>
        <v>13</v>
      </c>
      <c r="F93" s="4">
        <v>1750</v>
      </c>
      <c r="G93" s="4">
        <f t="shared" si="10"/>
        <v>22750</v>
      </c>
      <c r="H93" s="3">
        <v>10</v>
      </c>
      <c r="I93" s="4">
        <f t="shared" si="11"/>
        <v>1750</v>
      </c>
      <c r="J93" s="4">
        <f t="shared" si="12"/>
        <v>17500</v>
      </c>
    </row>
    <row r="94" spans="1:10" x14ac:dyDescent="0.25">
      <c r="A94" s="3">
        <v>6</v>
      </c>
      <c r="B94" t="s">
        <v>89</v>
      </c>
      <c r="C94" s="3">
        <v>13</v>
      </c>
      <c r="D94" s="3"/>
      <c r="E94" s="3">
        <f t="shared" si="9"/>
        <v>13</v>
      </c>
      <c r="F94" s="4">
        <v>1500</v>
      </c>
      <c r="G94" s="4">
        <f t="shared" si="10"/>
        <v>19500</v>
      </c>
      <c r="H94" s="3"/>
      <c r="I94" s="4">
        <f t="shared" si="11"/>
        <v>1500</v>
      </c>
      <c r="J94" s="4">
        <f t="shared" si="12"/>
        <v>0</v>
      </c>
    </row>
    <row r="95" spans="1:10" x14ac:dyDescent="0.25">
      <c r="A95" s="3">
        <v>7</v>
      </c>
      <c r="B95" t="s">
        <v>90</v>
      </c>
      <c r="C95" s="3">
        <v>11</v>
      </c>
      <c r="D95" s="3"/>
      <c r="E95" s="3">
        <f t="shared" si="9"/>
        <v>11</v>
      </c>
      <c r="F95" s="4">
        <v>1500</v>
      </c>
      <c r="G95" s="4">
        <f t="shared" si="10"/>
        <v>16500</v>
      </c>
      <c r="H95" s="3">
        <v>3</v>
      </c>
      <c r="I95" s="4">
        <f t="shared" si="11"/>
        <v>1500</v>
      </c>
      <c r="J95" s="4">
        <f t="shared" si="12"/>
        <v>4500</v>
      </c>
    </row>
    <row r="96" spans="1:10" x14ac:dyDescent="0.25">
      <c r="A96" s="3">
        <v>8</v>
      </c>
      <c r="B96" t="s">
        <v>91</v>
      </c>
      <c r="C96" s="3">
        <v>12</v>
      </c>
      <c r="D96" s="3"/>
      <c r="E96" s="3">
        <f t="shared" si="9"/>
        <v>12</v>
      </c>
      <c r="F96" s="4">
        <v>3350</v>
      </c>
      <c r="G96" s="4">
        <f t="shared" si="10"/>
        <v>40200</v>
      </c>
      <c r="H96" s="3">
        <v>3</v>
      </c>
      <c r="I96" s="4">
        <f t="shared" si="11"/>
        <v>3350</v>
      </c>
      <c r="J96" s="4">
        <f t="shared" si="12"/>
        <v>10050</v>
      </c>
    </row>
    <row r="97" spans="1:10" x14ac:dyDescent="0.25">
      <c r="A97" s="3">
        <v>9</v>
      </c>
      <c r="B97" t="s">
        <v>92</v>
      </c>
      <c r="C97" s="3">
        <v>1</v>
      </c>
      <c r="D97" s="3"/>
      <c r="E97" s="3">
        <f t="shared" si="9"/>
        <v>1</v>
      </c>
      <c r="F97" s="4">
        <v>23000</v>
      </c>
      <c r="G97" s="4">
        <f t="shared" si="10"/>
        <v>23000</v>
      </c>
      <c r="H97" s="3">
        <v>0.5</v>
      </c>
      <c r="I97" s="4">
        <f t="shared" si="11"/>
        <v>23000</v>
      </c>
      <c r="J97" s="4">
        <f t="shared" si="12"/>
        <v>11500</v>
      </c>
    </row>
    <row r="98" spans="1:10" x14ac:dyDescent="0.25">
      <c r="A98" s="3">
        <v>10</v>
      </c>
      <c r="B98" t="s">
        <v>93</v>
      </c>
      <c r="C98" s="3">
        <v>4</v>
      </c>
      <c r="D98" s="3">
        <v>10</v>
      </c>
      <c r="E98" s="3">
        <f t="shared" si="9"/>
        <v>14</v>
      </c>
      <c r="F98" s="4">
        <v>9000</v>
      </c>
      <c r="G98" s="4">
        <f t="shared" si="10"/>
        <v>126000</v>
      </c>
      <c r="H98" s="3"/>
      <c r="I98" s="4">
        <f t="shared" si="11"/>
        <v>9000</v>
      </c>
      <c r="J98" s="4">
        <f t="shared" si="12"/>
        <v>0</v>
      </c>
    </row>
    <row r="99" spans="1:10" x14ac:dyDescent="0.25">
      <c r="A99" s="3">
        <v>11</v>
      </c>
      <c r="B99" t="s">
        <v>94</v>
      </c>
      <c r="C99" s="3">
        <v>0.5</v>
      </c>
      <c r="D99" s="3"/>
      <c r="E99" s="3">
        <f t="shared" si="9"/>
        <v>0.5</v>
      </c>
      <c r="F99" s="4">
        <v>6000</v>
      </c>
      <c r="G99" s="4">
        <f t="shared" si="10"/>
        <v>3000</v>
      </c>
      <c r="H99" s="3"/>
      <c r="I99" s="4">
        <f t="shared" si="11"/>
        <v>6000</v>
      </c>
      <c r="J99" s="4">
        <f t="shared" si="12"/>
        <v>0</v>
      </c>
    </row>
    <row r="100" spans="1:10" x14ac:dyDescent="0.25">
      <c r="A100" s="3">
        <v>12</v>
      </c>
      <c r="B100" t="s">
        <v>95</v>
      </c>
      <c r="C100" s="3"/>
      <c r="D100" s="3"/>
      <c r="E100" s="3">
        <f t="shared" si="9"/>
        <v>0</v>
      </c>
      <c r="F100" s="4"/>
      <c r="G100" s="4">
        <f t="shared" si="10"/>
        <v>0</v>
      </c>
      <c r="H100" s="3"/>
      <c r="I100" s="4">
        <f t="shared" si="11"/>
        <v>0</v>
      </c>
      <c r="J100" s="4">
        <f t="shared" si="12"/>
        <v>0</v>
      </c>
    </row>
    <row r="101" spans="1:10" x14ac:dyDescent="0.25">
      <c r="A101" s="3">
        <v>13</v>
      </c>
      <c r="B101" t="s">
        <v>96</v>
      </c>
      <c r="C101" s="3">
        <v>10</v>
      </c>
      <c r="D101" s="3"/>
      <c r="E101" s="3">
        <f t="shared" si="9"/>
        <v>10</v>
      </c>
      <c r="F101" s="4">
        <v>3300</v>
      </c>
      <c r="G101" s="4">
        <f t="shared" si="10"/>
        <v>33000</v>
      </c>
      <c r="H101" s="3"/>
      <c r="I101" s="4">
        <f t="shared" si="11"/>
        <v>3300</v>
      </c>
      <c r="J101" s="4">
        <f t="shared" si="12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9"/>
        <v>0</v>
      </c>
      <c r="F102" s="4"/>
      <c r="G102" s="4">
        <f t="shared" si="10"/>
        <v>0</v>
      </c>
      <c r="H102" s="3"/>
      <c r="I102" s="4">
        <f t="shared" si="11"/>
        <v>0</v>
      </c>
      <c r="J102" s="4">
        <f t="shared" si="12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9"/>
        <v>0</v>
      </c>
      <c r="F103" s="4"/>
      <c r="G103" s="4">
        <f t="shared" si="10"/>
        <v>0</v>
      </c>
      <c r="H103" s="3"/>
      <c r="I103" s="4">
        <f t="shared" si="11"/>
        <v>0</v>
      </c>
      <c r="J103" s="4">
        <f t="shared" si="12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9"/>
        <v>0</v>
      </c>
      <c r="F104" s="4"/>
      <c r="G104" s="4">
        <f t="shared" si="10"/>
        <v>0</v>
      </c>
      <c r="H104" s="3"/>
      <c r="I104" s="4">
        <f t="shared" si="11"/>
        <v>0</v>
      </c>
      <c r="J104" s="4">
        <f t="shared" si="12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9"/>
        <v>0</v>
      </c>
      <c r="F105" s="4"/>
      <c r="G105" s="4">
        <f t="shared" si="10"/>
        <v>0</v>
      </c>
      <c r="H105" s="3"/>
      <c r="I105" s="4">
        <f t="shared" si="11"/>
        <v>0</v>
      </c>
      <c r="J105" s="4">
        <f t="shared" si="12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9"/>
        <v>0</v>
      </c>
      <c r="F106" s="4"/>
      <c r="G106" s="4">
        <f t="shared" si="10"/>
        <v>0</v>
      </c>
      <c r="H106" s="3"/>
      <c r="I106" s="4">
        <f t="shared" si="11"/>
        <v>0</v>
      </c>
      <c r="J106" s="4">
        <f t="shared" si="12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9"/>
        <v>0</v>
      </c>
      <c r="F107" s="4"/>
      <c r="G107" s="4">
        <f t="shared" si="10"/>
        <v>0</v>
      </c>
      <c r="H107" s="3"/>
      <c r="I107" s="4">
        <f t="shared" si="11"/>
        <v>0</v>
      </c>
      <c r="J107" s="4">
        <f t="shared" si="12"/>
        <v>0</v>
      </c>
    </row>
    <row r="108" spans="1:10" x14ac:dyDescent="0.25">
      <c r="A108" s="3">
        <v>20</v>
      </c>
      <c r="B108" t="s">
        <v>103</v>
      </c>
      <c r="C108" s="3"/>
      <c r="D108" s="3">
        <v>1</v>
      </c>
      <c r="E108" s="3">
        <f t="shared" si="9"/>
        <v>1</v>
      </c>
      <c r="F108" s="4">
        <v>6000</v>
      </c>
      <c r="G108" s="4">
        <f t="shared" si="10"/>
        <v>6000</v>
      </c>
      <c r="H108" s="3"/>
      <c r="I108" s="4">
        <f t="shared" si="11"/>
        <v>6000</v>
      </c>
      <c r="J108" s="4">
        <f t="shared" si="12"/>
        <v>0</v>
      </c>
    </row>
    <row r="109" spans="1:10" x14ac:dyDescent="0.25">
      <c r="A109" s="3">
        <v>21</v>
      </c>
      <c r="B109" t="s">
        <v>104</v>
      </c>
      <c r="C109" s="3"/>
      <c r="D109" s="3">
        <v>1</v>
      </c>
      <c r="E109" s="3">
        <f t="shared" si="9"/>
        <v>1</v>
      </c>
      <c r="F109" s="4">
        <v>8000</v>
      </c>
      <c r="G109" s="4">
        <f t="shared" si="10"/>
        <v>8000</v>
      </c>
      <c r="H109" s="3"/>
      <c r="I109" s="4">
        <f t="shared" si="11"/>
        <v>8000</v>
      </c>
      <c r="J109" s="4">
        <f t="shared" si="12"/>
        <v>0</v>
      </c>
    </row>
    <row r="110" spans="1:10" x14ac:dyDescent="0.25">
      <c r="A110" s="3">
        <v>22</v>
      </c>
      <c r="B110" t="s">
        <v>105</v>
      </c>
      <c r="C110" s="3">
        <v>2</v>
      </c>
      <c r="D110" s="3">
        <v>3</v>
      </c>
      <c r="E110" s="3">
        <f t="shared" si="9"/>
        <v>5</v>
      </c>
      <c r="F110" s="4"/>
      <c r="G110" s="4">
        <f t="shared" si="10"/>
        <v>0</v>
      </c>
      <c r="H110" s="3"/>
      <c r="I110" s="4">
        <f t="shared" si="11"/>
        <v>0</v>
      </c>
      <c r="J110" s="4">
        <f t="shared" si="12"/>
        <v>0</v>
      </c>
    </row>
    <row r="111" spans="1:10" x14ac:dyDescent="0.25">
      <c r="A111" s="3">
        <v>23</v>
      </c>
      <c r="B111" t="s">
        <v>106</v>
      </c>
      <c r="C111" s="3"/>
      <c r="D111" s="3">
        <v>6</v>
      </c>
      <c r="E111" s="3">
        <f t="shared" si="9"/>
        <v>6</v>
      </c>
      <c r="F111" s="4">
        <v>4000</v>
      </c>
      <c r="G111" s="4">
        <f t="shared" si="10"/>
        <v>24000</v>
      </c>
      <c r="H111" s="3">
        <v>4</v>
      </c>
      <c r="I111" s="4">
        <f t="shared" si="11"/>
        <v>4000</v>
      </c>
      <c r="J111" s="4">
        <f t="shared" si="12"/>
        <v>16000</v>
      </c>
    </row>
    <row r="112" spans="1:10" x14ac:dyDescent="0.25">
      <c r="A112" s="3">
        <v>24</v>
      </c>
      <c r="B112" t="s">
        <v>107</v>
      </c>
      <c r="C112" s="3">
        <v>3</v>
      </c>
      <c r="D112" s="3">
        <v>4</v>
      </c>
      <c r="E112" s="3">
        <f t="shared" si="9"/>
        <v>7</v>
      </c>
      <c r="F112" s="4">
        <v>24000</v>
      </c>
      <c r="G112" s="4">
        <f t="shared" si="10"/>
        <v>168000</v>
      </c>
      <c r="H112" s="3">
        <v>3</v>
      </c>
      <c r="I112" s="4">
        <f t="shared" si="11"/>
        <v>24000</v>
      </c>
      <c r="J112" s="4">
        <f t="shared" si="12"/>
        <v>72000</v>
      </c>
    </row>
    <row r="113" spans="1:10" x14ac:dyDescent="0.25">
      <c r="A113" s="3">
        <v>25</v>
      </c>
      <c r="B113" t="s">
        <v>114</v>
      </c>
      <c r="C113" s="3"/>
      <c r="D113" s="3">
        <v>10</v>
      </c>
      <c r="E113" s="3">
        <f t="shared" si="9"/>
        <v>10</v>
      </c>
      <c r="F113" s="4">
        <v>6000</v>
      </c>
      <c r="G113" s="4">
        <f t="shared" si="10"/>
        <v>60000</v>
      </c>
      <c r="H113" s="3">
        <v>6</v>
      </c>
      <c r="I113" s="4">
        <f t="shared" si="11"/>
        <v>6000</v>
      </c>
      <c r="J113" s="4">
        <f t="shared" si="12"/>
        <v>36000</v>
      </c>
    </row>
    <row r="114" spans="1:10" x14ac:dyDescent="0.25">
      <c r="A114" s="3">
        <v>26</v>
      </c>
      <c r="C114" s="3"/>
      <c r="D114" s="3"/>
      <c r="E114" s="3">
        <f t="shared" si="9"/>
        <v>0</v>
      </c>
      <c r="F114" s="4"/>
      <c r="G114" s="4">
        <f t="shared" si="10"/>
        <v>0</v>
      </c>
      <c r="H114" s="3"/>
      <c r="I114" s="4">
        <f t="shared" si="11"/>
        <v>0</v>
      </c>
      <c r="J114" s="4">
        <f t="shared" si="12"/>
        <v>0</v>
      </c>
    </row>
    <row r="115" spans="1:10" x14ac:dyDescent="0.25">
      <c r="A115" s="3">
        <v>27</v>
      </c>
      <c r="C115" s="3"/>
      <c r="D115" s="3"/>
      <c r="E115" s="3">
        <f t="shared" si="9"/>
        <v>0</v>
      </c>
      <c r="F115" s="4"/>
      <c r="G115" s="4">
        <f t="shared" si="10"/>
        <v>0</v>
      </c>
      <c r="H115" s="3"/>
      <c r="I115" s="4">
        <f t="shared" si="11"/>
        <v>0</v>
      </c>
      <c r="J115" s="4">
        <f t="shared" si="12"/>
        <v>0</v>
      </c>
    </row>
    <row r="116" spans="1:10" x14ac:dyDescent="0.25">
      <c r="A116" s="3">
        <v>28</v>
      </c>
      <c r="C116" s="3"/>
      <c r="D116" s="3"/>
      <c r="E116" s="3">
        <f t="shared" si="9"/>
        <v>0</v>
      </c>
      <c r="F116" s="4"/>
      <c r="G116" s="4">
        <f t="shared" si="10"/>
        <v>0</v>
      </c>
      <c r="H116" s="3"/>
      <c r="I116" s="4">
        <f t="shared" si="11"/>
        <v>0</v>
      </c>
      <c r="J116" s="4">
        <f t="shared" si="12"/>
        <v>0</v>
      </c>
    </row>
    <row r="117" spans="1:10" x14ac:dyDescent="0.25">
      <c r="A117" s="3">
        <v>29</v>
      </c>
      <c r="C117" s="3"/>
      <c r="D117" s="3"/>
      <c r="E117" s="3">
        <f t="shared" si="9"/>
        <v>0</v>
      </c>
      <c r="F117" s="4"/>
      <c r="G117" s="4">
        <f t="shared" si="10"/>
        <v>0</v>
      </c>
      <c r="H117" s="3"/>
      <c r="I117" s="4">
        <f t="shared" si="11"/>
        <v>0</v>
      </c>
      <c r="J117" s="4">
        <f t="shared" si="12"/>
        <v>0</v>
      </c>
    </row>
    <row r="118" spans="1:10" x14ac:dyDescent="0.25">
      <c r="A118" s="3">
        <v>30</v>
      </c>
      <c r="C118" s="3"/>
      <c r="D118" s="3"/>
      <c r="E118" s="3">
        <f t="shared" si="9"/>
        <v>0</v>
      </c>
      <c r="F118" s="4"/>
      <c r="G118" s="4">
        <f t="shared" si="10"/>
        <v>0</v>
      </c>
      <c r="H118" s="3"/>
      <c r="I118" s="4">
        <f t="shared" si="11"/>
        <v>0</v>
      </c>
      <c r="J118" s="4">
        <f t="shared" si="12"/>
        <v>0</v>
      </c>
    </row>
    <row r="119" spans="1:10" x14ac:dyDescent="0.25">
      <c r="A119" s="3">
        <v>31</v>
      </c>
      <c r="C119" s="3"/>
      <c r="D119" s="3"/>
      <c r="E119" s="3">
        <f t="shared" si="9"/>
        <v>0</v>
      </c>
      <c r="F119" s="4"/>
      <c r="G119" s="4">
        <f t="shared" si="10"/>
        <v>0</v>
      </c>
      <c r="H119" s="3"/>
      <c r="I119" s="4">
        <f t="shared" si="11"/>
        <v>0</v>
      </c>
      <c r="J119" s="4">
        <f t="shared" si="12"/>
        <v>0</v>
      </c>
    </row>
    <row r="120" spans="1:10" x14ac:dyDescent="0.25">
      <c r="A120" s="3">
        <v>32</v>
      </c>
      <c r="C120" s="3"/>
      <c r="D120" s="3"/>
      <c r="E120" s="3">
        <f t="shared" si="9"/>
        <v>0</v>
      </c>
      <c r="F120" s="4"/>
      <c r="G120" s="4">
        <f t="shared" si="10"/>
        <v>0</v>
      </c>
      <c r="H120" s="3"/>
      <c r="I120" s="4">
        <f t="shared" si="11"/>
        <v>0</v>
      </c>
      <c r="J120" s="4">
        <f t="shared" si="12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610650</v>
      </c>
      <c r="H121" s="5"/>
      <c r="I121" s="5"/>
      <c r="J121" s="5">
        <f t="shared" ref="J121" si="13">SUM(J89:J120)</f>
        <v>229890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1114265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D561-F4DD-4FCF-A94A-7D1095EB2E01}">
  <dimension ref="A1:J268"/>
  <sheetViews>
    <sheetView topLeftCell="A13" workbookViewId="0">
      <selection activeCell="C26" sqref="C2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>
        <v>0.28000000000000003</v>
      </c>
      <c r="D3" s="3">
        <v>0.5</v>
      </c>
      <c r="E3" s="3">
        <f>C3+D3</f>
        <v>0.78</v>
      </c>
      <c r="F3" s="4">
        <v>36000</v>
      </c>
      <c r="G3" s="4">
        <f>F3*E3</f>
        <v>28080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>
        <v>0.15</v>
      </c>
      <c r="D4" s="3">
        <v>0.5</v>
      </c>
      <c r="E4" s="3">
        <f t="shared" ref="E4:E73" si="0">C4+D4</f>
        <v>0.65</v>
      </c>
      <c r="F4" s="4">
        <v>36000</v>
      </c>
      <c r="G4" s="4">
        <f t="shared" ref="G4:G73" si="1">F4*E4</f>
        <v>23400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>
        <v>0.25</v>
      </c>
      <c r="E6" s="3">
        <f t="shared" si="0"/>
        <v>0.25</v>
      </c>
      <c r="F6" s="4"/>
      <c r="G6" s="4">
        <f t="shared" si="1"/>
        <v>0</v>
      </c>
      <c r="H6" s="3">
        <v>0.06</v>
      </c>
      <c r="I6" s="4">
        <f t="shared" si="2"/>
        <v>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>
        <v>0.25</v>
      </c>
      <c r="D7" s="3">
        <v>0.5</v>
      </c>
      <c r="E7" s="3">
        <f t="shared" si="0"/>
        <v>0.75</v>
      </c>
      <c r="F7" s="4">
        <v>36000</v>
      </c>
      <c r="G7" s="4">
        <f t="shared" si="1"/>
        <v>27000</v>
      </c>
      <c r="H7" s="3">
        <v>0.06</v>
      </c>
      <c r="I7" s="4">
        <f t="shared" si="2"/>
        <v>36000</v>
      </c>
      <c r="J7" s="4">
        <f t="shared" si="3"/>
        <v>2160</v>
      </c>
    </row>
    <row r="8" spans="1:10" x14ac:dyDescent="0.25">
      <c r="A8" s="3">
        <v>6</v>
      </c>
      <c r="B8" t="s">
        <v>14</v>
      </c>
      <c r="C8" s="3">
        <v>0.15</v>
      </c>
      <c r="D8" s="3">
        <v>0.5</v>
      </c>
      <c r="E8" s="3">
        <f>C8+D8</f>
        <v>0.65</v>
      </c>
      <c r="F8" s="4">
        <v>50000</v>
      </c>
      <c r="G8" s="4">
        <f t="shared" si="1"/>
        <v>32500</v>
      </c>
      <c r="H8" s="3">
        <v>0.3</v>
      </c>
      <c r="I8" s="4">
        <f t="shared" si="2"/>
        <v>50000</v>
      </c>
      <c r="J8" s="4">
        <f t="shared" si="3"/>
        <v>15000</v>
      </c>
    </row>
    <row r="9" spans="1:10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>
        <v>0.7</v>
      </c>
      <c r="I9" s="4">
        <f t="shared" si="2"/>
        <v>13000</v>
      </c>
      <c r="J9" s="4">
        <f t="shared" si="3"/>
        <v>9100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>
        <v>1</v>
      </c>
      <c r="E14" s="3">
        <f t="shared" si="0"/>
        <v>1</v>
      </c>
      <c r="F14" s="4"/>
      <c r="G14" s="4">
        <f t="shared" si="1"/>
        <v>0</v>
      </c>
      <c r="H14" s="3">
        <v>0.25</v>
      </c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>
        <v>1</v>
      </c>
      <c r="E19" s="3">
        <f t="shared" si="0"/>
        <v>1</v>
      </c>
      <c r="F19" s="4">
        <v>20000</v>
      </c>
      <c r="G19" s="4">
        <f t="shared" si="1"/>
        <v>20000</v>
      </c>
      <c r="H19" s="3">
        <v>0.02</v>
      </c>
      <c r="I19" s="4">
        <f t="shared" si="2"/>
        <v>20000</v>
      </c>
      <c r="J19" s="4">
        <f t="shared" si="3"/>
        <v>400</v>
      </c>
    </row>
    <row r="20" spans="1:10" x14ac:dyDescent="0.25">
      <c r="A20" s="3">
        <v>18</v>
      </c>
      <c r="B20" t="s">
        <v>25</v>
      </c>
      <c r="C20" s="3"/>
      <c r="D20" s="3">
        <v>4</v>
      </c>
      <c r="E20" s="3">
        <f t="shared" si="0"/>
        <v>4</v>
      </c>
      <c r="F20" s="4">
        <v>11000</v>
      </c>
      <c r="G20" s="4">
        <f t="shared" si="1"/>
        <v>44000</v>
      </c>
      <c r="H20" s="3">
        <v>2</v>
      </c>
      <c r="I20" s="4">
        <f t="shared" si="2"/>
        <v>11000</v>
      </c>
      <c r="J20" s="4">
        <f t="shared" si="3"/>
        <v>22000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1.41</v>
      </c>
      <c r="D23" s="3">
        <v>3</v>
      </c>
      <c r="E23" s="3">
        <f t="shared" si="0"/>
        <v>4.41</v>
      </c>
      <c r="F23" s="4">
        <v>8000</v>
      </c>
      <c r="G23" s="4">
        <f>F23*E23</f>
        <v>35280</v>
      </c>
      <c r="H23" s="3">
        <v>1.1000000000000001</v>
      </c>
      <c r="I23" s="4">
        <f t="shared" si="2"/>
        <v>8000</v>
      </c>
      <c r="J23" s="4">
        <f t="shared" si="3"/>
        <v>8800</v>
      </c>
    </row>
    <row r="24" spans="1:10" x14ac:dyDescent="0.25">
      <c r="A24" s="3">
        <v>22</v>
      </c>
      <c r="B24" t="s">
        <v>29</v>
      </c>
      <c r="C24" s="3">
        <v>0.18</v>
      </c>
      <c r="D24" s="3"/>
      <c r="E24" s="3">
        <f t="shared" si="0"/>
        <v>0.18</v>
      </c>
      <c r="F24" s="4">
        <v>8000</v>
      </c>
      <c r="G24" s="4">
        <f t="shared" si="1"/>
        <v>1440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>
        <v>2</v>
      </c>
      <c r="D25" s="3"/>
      <c r="E25" s="3">
        <f t="shared" si="0"/>
        <v>2</v>
      </c>
      <c r="F25" s="4">
        <v>3000</v>
      </c>
      <c r="G25" s="4">
        <f t="shared" si="1"/>
        <v>6000</v>
      </c>
      <c r="H25" s="3">
        <v>2</v>
      </c>
      <c r="I25" s="4">
        <f t="shared" si="2"/>
        <v>3000</v>
      </c>
      <c r="J25" s="4">
        <f t="shared" si="3"/>
        <v>6000</v>
      </c>
    </row>
    <row r="26" spans="1:10" x14ac:dyDescent="0.25">
      <c r="A26" s="3">
        <v>24</v>
      </c>
      <c r="B26" t="s">
        <v>31</v>
      </c>
      <c r="C26" s="3">
        <v>0.48</v>
      </c>
      <c r="D26" s="3">
        <v>1</v>
      </c>
      <c r="E26" s="3">
        <f t="shared" si="0"/>
        <v>1.48</v>
      </c>
      <c r="F26" s="4">
        <v>11500</v>
      </c>
      <c r="G26" s="4">
        <f t="shared" si="1"/>
        <v>17020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>
        <v>0.52</v>
      </c>
      <c r="D27" s="3">
        <v>1</v>
      </c>
      <c r="E27" s="3">
        <f t="shared" si="0"/>
        <v>1.52</v>
      </c>
      <c r="F27" s="4">
        <v>8500</v>
      </c>
      <c r="G27" s="4">
        <f t="shared" si="1"/>
        <v>12920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/>
      <c r="G28" s="4">
        <f t="shared" si="1"/>
        <v>0</v>
      </c>
      <c r="H28" s="3"/>
      <c r="I28" s="4">
        <f t="shared" si="2"/>
        <v>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0.19</v>
      </c>
      <c r="D29" s="3">
        <v>0.5</v>
      </c>
      <c r="E29" s="3">
        <f t="shared" si="0"/>
        <v>0.69</v>
      </c>
      <c r="F29" s="4">
        <v>24000</v>
      </c>
      <c r="G29" s="4">
        <f t="shared" si="1"/>
        <v>16560</v>
      </c>
      <c r="H29" s="3">
        <v>2.7E-2</v>
      </c>
      <c r="I29" s="4">
        <f t="shared" si="2"/>
        <v>24000</v>
      </c>
      <c r="J29" s="4">
        <f t="shared" si="3"/>
        <v>648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/>
      <c r="G33" s="4">
        <f t="shared" si="1"/>
        <v>0</v>
      </c>
      <c r="H33" s="3"/>
      <c r="I33" s="4">
        <f t="shared" si="2"/>
        <v>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3</v>
      </c>
      <c r="D34" s="3">
        <v>8</v>
      </c>
      <c r="E34" s="3">
        <f t="shared" si="0"/>
        <v>11</v>
      </c>
      <c r="F34" s="4">
        <v>17500</v>
      </c>
      <c r="G34" s="4">
        <f t="shared" si="1"/>
        <v>192500</v>
      </c>
      <c r="H34" s="3">
        <v>2</v>
      </c>
      <c r="I34" s="4">
        <f t="shared" si="2"/>
        <v>17500</v>
      </c>
      <c r="J34" s="4">
        <f t="shared" si="3"/>
        <v>35000</v>
      </c>
    </row>
    <row r="35" spans="1:10" x14ac:dyDescent="0.25">
      <c r="A35" s="3">
        <v>33</v>
      </c>
      <c r="B35" t="s">
        <v>40</v>
      </c>
      <c r="C35" s="3">
        <v>1</v>
      </c>
      <c r="D35" s="3"/>
      <c r="E35" s="3">
        <f t="shared" si="0"/>
        <v>1</v>
      </c>
      <c r="F35" s="4">
        <v>3000</v>
      </c>
      <c r="G35" s="4">
        <f t="shared" si="1"/>
        <v>3000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>
        <v>2</v>
      </c>
      <c r="D36" s="3"/>
      <c r="E36" s="3">
        <f t="shared" si="0"/>
        <v>2</v>
      </c>
      <c r="F36" s="4">
        <v>11000</v>
      </c>
      <c r="G36" s="4">
        <f t="shared" si="1"/>
        <v>22000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>
        <v>10</v>
      </c>
      <c r="D37" s="3"/>
      <c r="E37" s="3">
        <f t="shared" si="0"/>
        <v>10</v>
      </c>
      <c r="F37" s="4">
        <v>600</v>
      </c>
      <c r="G37" s="4">
        <f t="shared" si="1"/>
        <v>6000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>
        <v>3</v>
      </c>
      <c r="D38" s="3"/>
      <c r="E38" s="3">
        <f t="shared" si="0"/>
        <v>3</v>
      </c>
      <c r="F38" s="4">
        <v>600</v>
      </c>
      <c r="G38" s="4">
        <f t="shared" si="1"/>
        <v>1800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>
        <v>18</v>
      </c>
      <c r="D39" s="3"/>
      <c r="E39" s="3">
        <f t="shared" si="0"/>
        <v>18</v>
      </c>
      <c r="F39" s="4">
        <v>1200</v>
      </c>
      <c r="G39" s="4">
        <f t="shared" si="1"/>
        <v>21600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3</v>
      </c>
      <c r="E41" s="3">
        <f t="shared" si="0"/>
        <v>5</v>
      </c>
      <c r="F41" s="4">
        <v>83000</v>
      </c>
      <c r="G41" s="4">
        <f t="shared" si="1"/>
        <v>415000</v>
      </c>
      <c r="H41" s="3">
        <v>3</v>
      </c>
      <c r="I41" s="4">
        <f t="shared" si="2"/>
        <v>83000</v>
      </c>
      <c r="J41" s="4">
        <f t="shared" si="3"/>
        <v>249000</v>
      </c>
    </row>
    <row r="42" spans="1:10" x14ac:dyDescent="0.25">
      <c r="A42" s="3">
        <v>40</v>
      </c>
      <c r="B42" t="s">
        <v>47</v>
      </c>
      <c r="C42" s="3">
        <v>1</v>
      </c>
      <c r="D42" s="3">
        <v>5</v>
      </c>
      <c r="E42" s="3">
        <f t="shared" si="0"/>
        <v>6</v>
      </c>
      <c r="F42" s="4">
        <v>21000</v>
      </c>
      <c r="G42" s="4">
        <f t="shared" si="1"/>
        <v>126000</v>
      </c>
      <c r="H42" s="3">
        <v>2</v>
      </c>
      <c r="I42" s="4">
        <f t="shared" si="2"/>
        <v>21000</v>
      </c>
      <c r="J42" s="4">
        <f t="shared" si="3"/>
        <v>42000</v>
      </c>
    </row>
    <row r="43" spans="1:10" x14ac:dyDescent="0.25">
      <c r="A43" s="3">
        <v>41</v>
      </c>
      <c r="B43" t="s">
        <v>48</v>
      </c>
      <c r="C43" s="3">
        <v>1.75</v>
      </c>
      <c r="D43" s="3">
        <v>2</v>
      </c>
      <c r="E43" s="3">
        <f t="shared" si="0"/>
        <v>3.75</v>
      </c>
      <c r="F43" s="4">
        <v>25000</v>
      </c>
      <c r="G43" s="4">
        <f t="shared" si="1"/>
        <v>93750</v>
      </c>
      <c r="H43" s="3">
        <v>1</v>
      </c>
      <c r="I43" s="4">
        <f t="shared" si="2"/>
        <v>25000</v>
      </c>
      <c r="J43" s="4">
        <f t="shared" si="3"/>
        <v>25000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/>
      <c r="E45" s="3">
        <f t="shared" si="0"/>
        <v>2</v>
      </c>
      <c r="F45" s="4">
        <v>15500</v>
      </c>
      <c r="G45" s="4">
        <f t="shared" si="1"/>
        <v>31000</v>
      </c>
      <c r="H45" s="3"/>
      <c r="I45" s="4">
        <f t="shared" si="2"/>
        <v>15500</v>
      </c>
      <c r="J45" s="4">
        <f t="shared" si="3"/>
        <v>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>
        <v>1</v>
      </c>
      <c r="E47" s="3">
        <f t="shared" si="0"/>
        <v>1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2</v>
      </c>
      <c r="D49" s="3">
        <v>6</v>
      </c>
      <c r="E49" s="3">
        <f t="shared" si="0"/>
        <v>8</v>
      </c>
      <c r="F49" s="4">
        <v>6000</v>
      </c>
      <c r="G49" s="4">
        <f t="shared" si="1"/>
        <v>48000</v>
      </c>
      <c r="H49" s="3">
        <v>2</v>
      </c>
      <c r="I49" s="4">
        <f t="shared" si="2"/>
        <v>6000</v>
      </c>
      <c r="J49" s="4">
        <f t="shared" si="3"/>
        <v>12000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0.5</v>
      </c>
      <c r="D51" s="3">
        <v>2</v>
      </c>
      <c r="E51" s="3">
        <f t="shared" si="0"/>
        <v>2.5</v>
      </c>
      <c r="F51" s="4">
        <v>12000</v>
      </c>
      <c r="G51" s="4">
        <f>F51*E51</f>
        <v>30000</v>
      </c>
      <c r="H51" s="3">
        <v>0.25</v>
      </c>
      <c r="I51" s="4">
        <f t="shared" si="2"/>
        <v>12000</v>
      </c>
      <c r="J51" s="4">
        <f t="shared" si="3"/>
        <v>3000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>
        <v>5</v>
      </c>
      <c r="E54" s="3">
        <f t="shared" si="0"/>
        <v>5</v>
      </c>
      <c r="F54" s="4">
        <v>6000</v>
      </c>
      <c r="G54" s="4">
        <f t="shared" si="1"/>
        <v>30000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>
        <v>11</v>
      </c>
      <c r="D55" s="3"/>
      <c r="E55" s="3">
        <f t="shared" si="0"/>
        <v>11</v>
      </c>
      <c r="F55" s="4">
        <v>1000</v>
      </c>
      <c r="G55" s="4">
        <f t="shared" si="1"/>
        <v>11000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18</v>
      </c>
      <c r="D61" s="3">
        <v>7</v>
      </c>
      <c r="E61" s="3">
        <f t="shared" si="0"/>
        <v>25</v>
      </c>
      <c r="F61" s="4">
        <v>5250</v>
      </c>
      <c r="G61" s="4">
        <f t="shared" si="1"/>
        <v>131250</v>
      </c>
      <c r="H61" s="3">
        <v>12</v>
      </c>
      <c r="I61" s="4">
        <f t="shared" si="2"/>
        <v>5250</v>
      </c>
      <c r="J61" s="4">
        <f t="shared" si="3"/>
        <v>63000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>
        <v>0.4</v>
      </c>
      <c r="D63" s="3"/>
      <c r="E63" s="3">
        <f t="shared" si="0"/>
        <v>0.4</v>
      </c>
      <c r="F63" s="4">
        <v>37000</v>
      </c>
      <c r="G63" s="4">
        <f t="shared" si="1"/>
        <v>14800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3</v>
      </c>
      <c r="D64" s="3"/>
      <c r="E64" s="3">
        <f t="shared" si="0"/>
        <v>3</v>
      </c>
      <c r="F64" s="4">
        <v>4625</v>
      </c>
      <c r="G64" s="4">
        <f t="shared" si="1"/>
        <v>13875</v>
      </c>
      <c r="H64" s="3"/>
      <c r="I64" s="4">
        <f t="shared" si="2"/>
        <v>4625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>
        <v>11.25</v>
      </c>
      <c r="D65" s="3">
        <v>10</v>
      </c>
      <c r="E65" s="3">
        <f t="shared" si="0"/>
        <v>21.25</v>
      </c>
      <c r="F65" s="4">
        <v>21000</v>
      </c>
      <c r="G65" s="4">
        <f t="shared" si="1"/>
        <v>446250</v>
      </c>
      <c r="H65" s="3">
        <v>8</v>
      </c>
      <c r="I65" s="4">
        <f t="shared" si="2"/>
        <v>21000</v>
      </c>
      <c r="J65" s="4">
        <f t="shared" si="3"/>
        <v>168000</v>
      </c>
    </row>
    <row r="66" spans="1:10" x14ac:dyDescent="0.25">
      <c r="A66" s="3">
        <v>64</v>
      </c>
      <c r="B66" t="s">
        <v>115</v>
      </c>
      <c r="C66" s="3">
        <v>0.59</v>
      </c>
      <c r="D66" s="3"/>
      <c r="E66" s="3">
        <f t="shared" si="0"/>
        <v>0.59</v>
      </c>
      <c r="F66" s="4">
        <v>100000</v>
      </c>
      <c r="G66" s="4">
        <f t="shared" si="1"/>
        <v>59000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/>
      <c r="D67" s="3">
        <v>3</v>
      </c>
      <c r="E67" s="3">
        <f t="shared" si="0"/>
        <v>3</v>
      </c>
      <c r="F67" s="4">
        <v>17500</v>
      </c>
      <c r="G67" s="4">
        <f t="shared" si="1"/>
        <v>52500</v>
      </c>
      <c r="H67" s="3">
        <v>1</v>
      </c>
      <c r="I67" s="4">
        <f t="shared" si="2"/>
        <v>17500</v>
      </c>
      <c r="J67" s="4">
        <f t="shared" si="3"/>
        <v>17500</v>
      </c>
    </row>
    <row r="68" spans="1:10" x14ac:dyDescent="0.25">
      <c r="A68" s="3">
        <v>66</v>
      </c>
      <c r="B68" t="s">
        <v>72</v>
      </c>
      <c r="C68" s="3">
        <v>2</v>
      </c>
      <c r="D68" s="3">
        <v>3</v>
      </c>
      <c r="E68" s="3">
        <f t="shared" si="0"/>
        <v>5</v>
      </c>
      <c r="F68" s="4">
        <v>8000</v>
      </c>
      <c r="G68" s="4">
        <f t="shared" si="1"/>
        <v>40000</v>
      </c>
      <c r="H68" s="3">
        <v>5</v>
      </c>
      <c r="I68" s="4">
        <f t="shared" si="2"/>
        <v>8000</v>
      </c>
      <c r="J68" s="4">
        <f t="shared" si="3"/>
        <v>40000</v>
      </c>
    </row>
    <row r="69" spans="1:10" x14ac:dyDescent="0.25">
      <c r="A69" s="3">
        <v>67</v>
      </c>
      <c r="B69" t="s">
        <v>73</v>
      </c>
      <c r="C69" s="3"/>
      <c r="D69" s="3">
        <v>2</v>
      </c>
      <c r="E69" s="3">
        <f t="shared" si="0"/>
        <v>2</v>
      </c>
      <c r="F69" s="4"/>
      <c r="G69" s="4">
        <f t="shared" si="1"/>
        <v>0</v>
      </c>
      <c r="H69" s="3">
        <v>0.5</v>
      </c>
      <c r="I69" s="4">
        <f t="shared" si="2"/>
        <v>0</v>
      </c>
      <c r="J69" s="4">
        <f t="shared" ref="J69:J83" si="4">I69*H69</f>
        <v>0</v>
      </c>
    </row>
    <row r="70" spans="1:10" x14ac:dyDescent="0.25">
      <c r="A70" s="3">
        <v>68</v>
      </c>
      <c r="B70" t="s">
        <v>74</v>
      </c>
      <c r="C70" s="3"/>
      <c r="D70" s="3"/>
      <c r="E70" s="3">
        <f t="shared" si="0"/>
        <v>0</v>
      </c>
      <c r="F70" s="4">
        <v>24000</v>
      </c>
      <c r="G70" s="4">
        <f t="shared" si="1"/>
        <v>0</v>
      </c>
      <c r="H70" s="3"/>
      <c r="I70" s="4">
        <f t="shared" si="2"/>
        <v>24000</v>
      </c>
      <c r="J70" s="4">
        <f t="shared" si="4"/>
        <v>0</v>
      </c>
    </row>
    <row r="71" spans="1:10" x14ac:dyDescent="0.25">
      <c r="A71" s="3">
        <v>69</v>
      </c>
      <c r="B71" t="s">
        <v>75</v>
      </c>
      <c r="C71" s="3"/>
      <c r="D71" s="3">
        <v>12</v>
      </c>
      <c r="E71" s="3">
        <f t="shared" si="0"/>
        <v>12</v>
      </c>
      <c r="F71" s="4"/>
      <c r="G71" s="4">
        <f t="shared" si="1"/>
        <v>0</v>
      </c>
      <c r="H71" s="3">
        <v>12</v>
      </c>
      <c r="I71" s="4">
        <f t="shared" si="2"/>
        <v>0</v>
      </c>
      <c r="J71" s="4">
        <f t="shared" si="4"/>
        <v>0</v>
      </c>
    </row>
    <row r="72" spans="1:10" x14ac:dyDescent="0.25">
      <c r="A72" s="3">
        <v>70</v>
      </c>
      <c r="B72" t="s">
        <v>76</v>
      </c>
      <c r="C72" s="3">
        <v>0.94</v>
      </c>
      <c r="D72" s="3">
        <v>2</v>
      </c>
      <c r="E72" s="3">
        <f t="shared" si="0"/>
        <v>2.94</v>
      </c>
      <c r="F72" s="4">
        <v>15000</v>
      </c>
      <c r="G72" s="4">
        <f>F72*E72</f>
        <v>44100</v>
      </c>
      <c r="H72" s="3">
        <v>1</v>
      </c>
      <c r="I72" s="4">
        <f t="shared" si="2"/>
        <v>15000</v>
      </c>
      <c r="J72" s="4">
        <f t="shared" si="4"/>
        <v>15000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0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4"/>
        <v>0</v>
      </c>
    </row>
    <row r="74" spans="1:10" x14ac:dyDescent="0.25">
      <c r="A74" s="3">
        <v>72</v>
      </c>
      <c r="B74" t="s">
        <v>110</v>
      </c>
      <c r="C74" s="3">
        <v>3</v>
      </c>
      <c r="D74" s="3"/>
      <c r="E74" s="3">
        <f t="shared" ref="E74:E83" si="5">C74+D74</f>
        <v>3</v>
      </c>
      <c r="F74" s="4"/>
      <c r="G74" s="4">
        <f t="shared" ref="G74:G83" si="6">F74*E74</f>
        <v>0</v>
      </c>
      <c r="H74" s="3"/>
      <c r="I74" s="4">
        <f t="shared" ref="I74:I83" si="7">F74</f>
        <v>0</v>
      </c>
      <c r="J74" s="4">
        <f t="shared" si="4"/>
        <v>0</v>
      </c>
    </row>
    <row r="75" spans="1:10" x14ac:dyDescent="0.25">
      <c r="A75" s="3">
        <v>73</v>
      </c>
      <c r="B75" t="s">
        <v>111</v>
      </c>
      <c r="C75" s="3">
        <v>23</v>
      </c>
      <c r="D75" s="3"/>
      <c r="E75" s="3">
        <f t="shared" si="5"/>
        <v>23</v>
      </c>
      <c r="F75" s="4"/>
      <c r="G75" s="4">
        <f t="shared" si="6"/>
        <v>0</v>
      </c>
      <c r="H75" s="3"/>
      <c r="I75" s="4">
        <f t="shared" si="7"/>
        <v>0</v>
      </c>
      <c r="J75" s="4">
        <f t="shared" si="4"/>
        <v>0</v>
      </c>
    </row>
    <row r="76" spans="1:10" x14ac:dyDescent="0.25">
      <c r="A76" s="3">
        <v>74</v>
      </c>
      <c r="B76" t="s">
        <v>112</v>
      </c>
      <c r="C76" s="3">
        <v>12</v>
      </c>
      <c r="D76" s="3"/>
      <c r="E76" s="3">
        <f t="shared" si="5"/>
        <v>12</v>
      </c>
      <c r="F76" s="4"/>
      <c r="G76" s="4">
        <f t="shared" si="6"/>
        <v>0</v>
      </c>
      <c r="H76" s="3"/>
      <c r="I76" s="4">
        <f t="shared" si="7"/>
        <v>0</v>
      </c>
      <c r="J76" s="4">
        <f t="shared" si="4"/>
        <v>0</v>
      </c>
    </row>
    <row r="77" spans="1:10" x14ac:dyDescent="0.25">
      <c r="A77" s="3">
        <v>75</v>
      </c>
      <c r="C77" s="3"/>
      <c r="D77" s="3"/>
      <c r="E77" s="3">
        <f t="shared" si="5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4"/>
        <v>0</v>
      </c>
    </row>
    <row r="78" spans="1:10" x14ac:dyDescent="0.25">
      <c r="A78" s="3">
        <v>76</v>
      </c>
      <c r="C78" s="3"/>
      <c r="D78" s="3"/>
      <c r="E78" s="3">
        <f t="shared" si="5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4"/>
        <v>0</v>
      </c>
    </row>
    <row r="79" spans="1:10" x14ac:dyDescent="0.25">
      <c r="A79" s="3">
        <v>77</v>
      </c>
      <c r="C79" s="3"/>
      <c r="D79" s="3"/>
      <c r="E79" s="3">
        <f t="shared" si="5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4"/>
        <v>0</v>
      </c>
    </row>
    <row r="80" spans="1:10" x14ac:dyDescent="0.25">
      <c r="A80" s="3">
        <v>78</v>
      </c>
      <c r="C80" s="3"/>
      <c r="D80" s="3"/>
      <c r="E80" s="3">
        <f t="shared" si="5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4"/>
        <v>0</v>
      </c>
    </row>
    <row r="81" spans="1:10" x14ac:dyDescent="0.25">
      <c r="A81" s="3">
        <v>79</v>
      </c>
      <c r="C81" s="3"/>
      <c r="D81" s="3"/>
      <c r="E81" s="3">
        <f t="shared" si="5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4"/>
        <v>0</v>
      </c>
    </row>
    <row r="82" spans="1:10" x14ac:dyDescent="0.25">
      <c r="A82" s="3">
        <v>80</v>
      </c>
      <c r="C82" s="3"/>
      <c r="D82" s="3"/>
      <c r="E82" s="3">
        <f t="shared" si="5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4"/>
        <v>0</v>
      </c>
    </row>
    <row r="83" spans="1:10" x14ac:dyDescent="0.25">
      <c r="A83" s="3">
        <v>81</v>
      </c>
      <c r="C83" s="3"/>
      <c r="D83" s="3"/>
      <c r="E83" s="3">
        <f t="shared" si="5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4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2110625</v>
      </c>
      <c r="H85" s="5"/>
      <c r="I85" s="5"/>
      <c r="J85" s="5">
        <f t="shared" ref="J85" si="8">SUM(J3:J84)</f>
        <v>733608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16</v>
      </c>
      <c r="D89" s="3"/>
      <c r="E89" s="3">
        <f>C89+D89</f>
        <v>16</v>
      </c>
      <c r="F89" s="4">
        <v>1240</v>
      </c>
      <c r="G89" s="4">
        <f>F89*E89</f>
        <v>19840</v>
      </c>
      <c r="H89" s="3">
        <v>16</v>
      </c>
      <c r="I89" s="4">
        <f>F89</f>
        <v>1240</v>
      </c>
      <c r="J89" s="4">
        <f>I89*H89</f>
        <v>19840</v>
      </c>
    </row>
    <row r="90" spans="1:10" x14ac:dyDescent="0.25">
      <c r="A90" s="3">
        <v>2</v>
      </c>
      <c r="B90" t="s">
        <v>85</v>
      </c>
      <c r="C90" s="3">
        <v>26</v>
      </c>
      <c r="D90" s="3">
        <v>10</v>
      </c>
      <c r="E90" s="3">
        <f t="shared" ref="E90:E120" si="9">C90+D90</f>
        <v>36</v>
      </c>
      <c r="F90" s="4">
        <v>1000</v>
      </c>
      <c r="G90" s="4">
        <f t="shared" ref="G90:G120" si="10">F90*E90</f>
        <v>36000</v>
      </c>
      <c r="H90" s="3">
        <v>22</v>
      </c>
      <c r="I90" s="4">
        <f t="shared" ref="I90:I120" si="11">F90</f>
        <v>1000</v>
      </c>
      <c r="J90" s="4">
        <f t="shared" ref="J90:J120" si="12">I90*H90</f>
        <v>22000</v>
      </c>
    </row>
    <row r="91" spans="1:10" x14ac:dyDescent="0.25">
      <c r="A91" s="3">
        <v>3</v>
      </c>
      <c r="B91" t="s">
        <v>86</v>
      </c>
      <c r="C91" s="3">
        <v>4</v>
      </c>
      <c r="D91" s="3">
        <v>20</v>
      </c>
      <c r="E91" s="3">
        <f t="shared" si="9"/>
        <v>24</v>
      </c>
      <c r="F91" s="4">
        <v>1650</v>
      </c>
      <c r="G91" s="4">
        <f t="shared" si="10"/>
        <v>39600</v>
      </c>
      <c r="H91" s="3">
        <v>13</v>
      </c>
      <c r="I91" s="4">
        <f t="shared" si="11"/>
        <v>1650</v>
      </c>
      <c r="J91" s="4">
        <f t="shared" si="12"/>
        <v>21450</v>
      </c>
    </row>
    <row r="92" spans="1:10" x14ac:dyDescent="0.25">
      <c r="A92" s="3">
        <v>4</v>
      </c>
      <c r="B92" t="s">
        <v>87</v>
      </c>
      <c r="C92" s="3">
        <v>6</v>
      </c>
      <c r="D92" s="3">
        <v>10</v>
      </c>
      <c r="E92" s="3">
        <f t="shared" si="9"/>
        <v>16</v>
      </c>
      <c r="F92" s="4">
        <v>1650</v>
      </c>
      <c r="G92" s="4">
        <f t="shared" si="10"/>
        <v>26400</v>
      </c>
      <c r="H92" s="3">
        <v>11</v>
      </c>
      <c r="I92" s="4">
        <f t="shared" si="11"/>
        <v>1650</v>
      </c>
      <c r="J92" s="4">
        <f t="shared" si="12"/>
        <v>18150</v>
      </c>
    </row>
    <row r="93" spans="1:10" x14ac:dyDescent="0.25">
      <c r="A93" s="3">
        <v>5</v>
      </c>
      <c r="B93" t="s">
        <v>88</v>
      </c>
      <c r="C93" s="3">
        <v>10</v>
      </c>
      <c r="D93" s="3"/>
      <c r="E93" s="3">
        <f t="shared" si="9"/>
        <v>10</v>
      </c>
      <c r="F93" s="4">
        <v>1750</v>
      </c>
      <c r="G93" s="4">
        <f t="shared" si="10"/>
        <v>17500</v>
      </c>
      <c r="H93" s="3">
        <v>4</v>
      </c>
      <c r="I93" s="4">
        <f t="shared" si="11"/>
        <v>1750</v>
      </c>
      <c r="J93" s="4">
        <f t="shared" si="12"/>
        <v>7000</v>
      </c>
    </row>
    <row r="94" spans="1:10" x14ac:dyDescent="0.25">
      <c r="A94" s="3">
        <v>6</v>
      </c>
      <c r="B94" t="s">
        <v>89</v>
      </c>
      <c r="C94" s="3"/>
      <c r="D94" s="3">
        <v>18</v>
      </c>
      <c r="E94" s="3">
        <f t="shared" si="9"/>
        <v>18</v>
      </c>
      <c r="F94" s="4">
        <v>1500</v>
      </c>
      <c r="G94" s="4">
        <f t="shared" si="10"/>
        <v>27000</v>
      </c>
      <c r="H94" s="3">
        <v>5</v>
      </c>
      <c r="I94" s="4">
        <f t="shared" si="11"/>
        <v>1500</v>
      </c>
      <c r="J94" s="4">
        <f t="shared" si="12"/>
        <v>7500</v>
      </c>
    </row>
    <row r="95" spans="1:10" x14ac:dyDescent="0.25">
      <c r="A95" s="3">
        <v>7</v>
      </c>
      <c r="B95" t="s">
        <v>90</v>
      </c>
      <c r="C95" s="3">
        <v>3</v>
      </c>
      <c r="D95" s="3">
        <v>6</v>
      </c>
      <c r="E95" s="3">
        <f t="shared" si="9"/>
        <v>9</v>
      </c>
      <c r="F95" s="4">
        <v>1500</v>
      </c>
      <c r="G95" s="4">
        <f t="shared" si="10"/>
        <v>13500</v>
      </c>
      <c r="H95" s="3">
        <v>8</v>
      </c>
      <c r="I95" s="4">
        <f t="shared" si="11"/>
        <v>1500</v>
      </c>
      <c r="J95" s="4">
        <f t="shared" si="12"/>
        <v>12000</v>
      </c>
    </row>
    <row r="96" spans="1:10" x14ac:dyDescent="0.25">
      <c r="A96" s="3">
        <v>8</v>
      </c>
      <c r="B96" t="s">
        <v>91</v>
      </c>
      <c r="C96" s="3">
        <v>3</v>
      </c>
      <c r="D96" s="3">
        <v>12</v>
      </c>
      <c r="E96" s="3">
        <f t="shared" si="9"/>
        <v>15</v>
      </c>
      <c r="F96" s="4">
        <v>3350</v>
      </c>
      <c r="G96" s="4">
        <f t="shared" si="10"/>
        <v>50250</v>
      </c>
      <c r="H96" s="3">
        <v>8</v>
      </c>
      <c r="I96" s="4">
        <f t="shared" si="11"/>
        <v>3350</v>
      </c>
      <c r="J96" s="4">
        <f t="shared" si="12"/>
        <v>26800</v>
      </c>
    </row>
    <row r="97" spans="1:10" x14ac:dyDescent="0.25">
      <c r="A97" s="3">
        <v>9</v>
      </c>
      <c r="B97" t="s">
        <v>92</v>
      </c>
      <c r="C97" s="3">
        <v>0.5</v>
      </c>
      <c r="D97" s="3">
        <v>1</v>
      </c>
      <c r="E97" s="3">
        <f t="shared" si="9"/>
        <v>1.5</v>
      </c>
      <c r="F97" s="4">
        <v>23000</v>
      </c>
      <c r="G97" s="4">
        <f t="shared" si="10"/>
        <v>34500</v>
      </c>
      <c r="H97" s="3">
        <v>1.5</v>
      </c>
      <c r="I97" s="4">
        <f t="shared" si="11"/>
        <v>23000</v>
      </c>
      <c r="J97" s="4">
        <f t="shared" si="12"/>
        <v>34500</v>
      </c>
    </row>
    <row r="98" spans="1:10" x14ac:dyDescent="0.25">
      <c r="A98" s="3">
        <v>10</v>
      </c>
      <c r="B98" t="s">
        <v>93</v>
      </c>
      <c r="C98" s="3"/>
      <c r="D98" s="3">
        <v>10</v>
      </c>
      <c r="E98" s="3">
        <f t="shared" si="9"/>
        <v>10</v>
      </c>
      <c r="F98" s="4">
        <v>9000</v>
      </c>
      <c r="G98" s="4">
        <f t="shared" si="10"/>
        <v>90000</v>
      </c>
      <c r="H98" s="3">
        <v>9</v>
      </c>
      <c r="I98" s="4">
        <f t="shared" si="11"/>
        <v>9000</v>
      </c>
      <c r="J98" s="4">
        <f t="shared" si="12"/>
        <v>81000</v>
      </c>
    </row>
    <row r="99" spans="1:10" x14ac:dyDescent="0.25">
      <c r="A99" s="3">
        <v>11</v>
      </c>
      <c r="B99" t="s">
        <v>94</v>
      </c>
      <c r="C99" s="3"/>
      <c r="D99" s="3">
        <v>2</v>
      </c>
      <c r="E99" s="3">
        <f t="shared" si="9"/>
        <v>2</v>
      </c>
      <c r="F99" s="4">
        <v>6000</v>
      </c>
      <c r="G99" s="4">
        <f t="shared" si="10"/>
        <v>12000</v>
      </c>
      <c r="H99" s="3">
        <v>1.5</v>
      </c>
      <c r="I99" s="4">
        <f t="shared" si="11"/>
        <v>6000</v>
      </c>
      <c r="J99" s="4">
        <f t="shared" si="12"/>
        <v>9000</v>
      </c>
    </row>
    <row r="100" spans="1:10" x14ac:dyDescent="0.25">
      <c r="A100" s="3">
        <v>12</v>
      </c>
      <c r="B100" t="s">
        <v>95</v>
      </c>
      <c r="C100" s="3"/>
      <c r="D100" s="3">
        <v>7</v>
      </c>
      <c r="E100" s="3">
        <f t="shared" si="9"/>
        <v>7</v>
      </c>
      <c r="F100" s="4">
        <v>8000</v>
      </c>
      <c r="G100" s="4">
        <f t="shared" si="10"/>
        <v>56000</v>
      </c>
      <c r="H100" s="3"/>
      <c r="I100" s="4">
        <f t="shared" si="11"/>
        <v>8000</v>
      </c>
      <c r="J100" s="4">
        <f t="shared" si="12"/>
        <v>0</v>
      </c>
    </row>
    <row r="101" spans="1:10" x14ac:dyDescent="0.25">
      <c r="A101" s="3">
        <v>13</v>
      </c>
      <c r="B101" t="s">
        <v>96</v>
      </c>
      <c r="C101" s="3"/>
      <c r="D101" s="3"/>
      <c r="E101" s="3">
        <f t="shared" si="9"/>
        <v>0</v>
      </c>
      <c r="F101" s="4">
        <v>3300</v>
      </c>
      <c r="G101" s="4">
        <f t="shared" si="10"/>
        <v>0</v>
      </c>
      <c r="H101" s="3">
        <v>5</v>
      </c>
      <c r="I101" s="4">
        <f t="shared" si="11"/>
        <v>3300</v>
      </c>
      <c r="J101" s="4">
        <f t="shared" si="12"/>
        <v>16500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9"/>
        <v>0</v>
      </c>
      <c r="F102" s="4"/>
      <c r="G102" s="4">
        <f t="shared" si="10"/>
        <v>0</v>
      </c>
      <c r="H102" s="3"/>
      <c r="I102" s="4">
        <f t="shared" si="11"/>
        <v>0</v>
      </c>
      <c r="J102" s="4">
        <f t="shared" si="12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9"/>
        <v>0</v>
      </c>
      <c r="F103" s="4"/>
      <c r="G103" s="4">
        <f t="shared" si="10"/>
        <v>0</v>
      </c>
      <c r="H103" s="3"/>
      <c r="I103" s="4">
        <f t="shared" si="11"/>
        <v>0</v>
      </c>
      <c r="J103" s="4">
        <f t="shared" si="12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9"/>
        <v>0</v>
      </c>
      <c r="F104" s="4"/>
      <c r="G104" s="4">
        <f t="shared" si="10"/>
        <v>0</v>
      </c>
      <c r="H104" s="3"/>
      <c r="I104" s="4">
        <f t="shared" si="11"/>
        <v>0</v>
      </c>
      <c r="J104" s="4">
        <f t="shared" si="12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9"/>
        <v>0</v>
      </c>
      <c r="F105" s="4"/>
      <c r="G105" s="4">
        <f t="shared" si="10"/>
        <v>0</v>
      </c>
      <c r="H105" s="3"/>
      <c r="I105" s="4">
        <f t="shared" si="11"/>
        <v>0</v>
      </c>
      <c r="J105" s="4">
        <f t="shared" si="12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9"/>
        <v>0</v>
      </c>
      <c r="F106" s="4"/>
      <c r="G106" s="4">
        <f t="shared" si="10"/>
        <v>0</v>
      </c>
      <c r="H106" s="3"/>
      <c r="I106" s="4">
        <f t="shared" si="11"/>
        <v>0</v>
      </c>
      <c r="J106" s="4">
        <f t="shared" si="12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9"/>
        <v>0</v>
      </c>
      <c r="F107" s="4"/>
      <c r="G107" s="4">
        <f t="shared" si="10"/>
        <v>0</v>
      </c>
      <c r="H107" s="3"/>
      <c r="I107" s="4">
        <f t="shared" si="11"/>
        <v>0</v>
      </c>
      <c r="J107" s="4">
        <f t="shared" si="12"/>
        <v>0</v>
      </c>
    </row>
    <row r="108" spans="1:10" x14ac:dyDescent="0.25">
      <c r="A108" s="3">
        <v>20</v>
      </c>
      <c r="B108" t="s">
        <v>103</v>
      </c>
      <c r="C108" s="3"/>
      <c r="D108" s="3">
        <v>1</v>
      </c>
      <c r="E108" s="3">
        <f t="shared" si="9"/>
        <v>1</v>
      </c>
      <c r="F108" s="4">
        <v>6000</v>
      </c>
      <c r="G108" s="4">
        <f t="shared" si="10"/>
        <v>6000</v>
      </c>
      <c r="H108" s="3"/>
      <c r="I108" s="4">
        <f t="shared" si="11"/>
        <v>6000</v>
      </c>
      <c r="J108" s="4">
        <f t="shared" si="12"/>
        <v>0</v>
      </c>
    </row>
    <row r="109" spans="1:10" x14ac:dyDescent="0.25">
      <c r="A109" s="3">
        <v>21</v>
      </c>
      <c r="B109" t="s">
        <v>104</v>
      </c>
      <c r="C109" s="3"/>
      <c r="D109" s="3">
        <v>1</v>
      </c>
      <c r="E109" s="3">
        <f t="shared" si="9"/>
        <v>1</v>
      </c>
      <c r="F109" s="4">
        <v>8000</v>
      </c>
      <c r="G109" s="4">
        <f t="shared" si="10"/>
        <v>8000</v>
      </c>
      <c r="H109" s="3"/>
      <c r="I109" s="4">
        <f t="shared" si="11"/>
        <v>8000</v>
      </c>
      <c r="J109" s="4">
        <f t="shared" si="12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9"/>
        <v>0</v>
      </c>
      <c r="F110" s="4"/>
      <c r="G110" s="4">
        <f t="shared" si="10"/>
        <v>0</v>
      </c>
      <c r="H110" s="3"/>
      <c r="I110" s="4">
        <f t="shared" si="11"/>
        <v>0</v>
      </c>
      <c r="J110" s="4">
        <f t="shared" si="12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6</v>
      </c>
      <c r="E111" s="3">
        <f t="shared" si="9"/>
        <v>10</v>
      </c>
      <c r="F111" s="4">
        <v>4000</v>
      </c>
      <c r="G111" s="4">
        <f t="shared" si="10"/>
        <v>40000</v>
      </c>
      <c r="H111" s="3">
        <v>5</v>
      </c>
      <c r="I111" s="4">
        <f t="shared" si="11"/>
        <v>4000</v>
      </c>
      <c r="J111" s="4">
        <f t="shared" si="12"/>
        <v>20000</v>
      </c>
    </row>
    <row r="112" spans="1:10" x14ac:dyDescent="0.25">
      <c r="A112" s="3">
        <v>24</v>
      </c>
      <c r="B112" t="s">
        <v>107</v>
      </c>
      <c r="C112" s="3">
        <v>3</v>
      </c>
      <c r="D112" s="3">
        <v>3</v>
      </c>
      <c r="E112" s="3">
        <f t="shared" si="9"/>
        <v>6</v>
      </c>
      <c r="F112" s="4">
        <v>24000</v>
      </c>
      <c r="G112" s="4">
        <f t="shared" si="10"/>
        <v>144000</v>
      </c>
      <c r="H112" s="3">
        <v>3</v>
      </c>
      <c r="I112" s="4">
        <f t="shared" si="11"/>
        <v>24000</v>
      </c>
      <c r="J112" s="4">
        <f t="shared" si="12"/>
        <v>72000</v>
      </c>
    </row>
    <row r="113" spans="1:10" x14ac:dyDescent="0.25">
      <c r="A113" s="3">
        <v>25</v>
      </c>
      <c r="B113" t="s">
        <v>114</v>
      </c>
      <c r="C113" s="3">
        <v>6</v>
      </c>
      <c r="D113" s="3"/>
      <c r="E113" s="3">
        <f t="shared" si="9"/>
        <v>6</v>
      </c>
      <c r="F113" s="4">
        <v>6000</v>
      </c>
      <c r="G113" s="4">
        <f t="shared" si="10"/>
        <v>36000</v>
      </c>
      <c r="H113" s="3"/>
      <c r="I113" s="4">
        <f t="shared" si="11"/>
        <v>6000</v>
      </c>
      <c r="J113" s="4">
        <f t="shared" si="12"/>
        <v>0</v>
      </c>
    </row>
    <row r="114" spans="1:10" x14ac:dyDescent="0.25">
      <c r="A114" s="3">
        <v>26</v>
      </c>
      <c r="C114" s="3"/>
      <c r="D114" s="3"/>
      <c r="E114" s="3">
        <f t="shared" si="9"/>
        <v>0</v>
      </c>
      <c r="F114" s="4"/>
      <c r="G114" s="4">
        <f t="shared" si="10"/>
        <v>0</v>
      </c>
      <c r="H114" s="3"/>
      <c r="I114" s="4">
        <f t="shared" si="11"/>
        <v>0</v>
      </c>
      <c r="J114" s="4">
        <f t="shared" si="12"/>
        <v>0</v>
      </c>
    </row>
    <row r="115" spans="1:10" x14ac:dyDescent="0.25">
      <c r="A115" s="3">
        <v>27</v>
      </c>
      <c r="C115" s="3"/>
      <c r="D115" s="3"/>
      <c r="E115" s="3">
        <f t="shared" si="9"/>
        <v>0</v>
      </c>
      <c r="F115" s="4"/>
      <c r="G115" s="4">
        <f t="shared" si="10"/>
        <v>0</v>
      </c>
      <c r="H115" s="3"/>
      <c r="I115" s="4">
        <f t="shared" si="11"/>
        <v>0</v>
      </c>
      <c r="J115" s="4">
        <f t="shared" si="12"/>
        <v>0</v>
      </c>
    </row>
    <row r="116" spans="1:10" x14ac:dyDescent="0.25">
      <c r="A116" s="3">
        <v>28</v>
      </c>
      <c r="C116" s="3"/>
      <c r="D116" s="3"/>
      <c r="E116" s="3">
        <f t="shared" si="9"/>
        <v>0</v>
      </c>
      <c r="F116" s="4"/>
      <c r="G116" s="4">
        <f t="shared" si="10"/>
        <v>0</v>
      </c>
      <c r="H116" s="3"/>
      <c r="I116" s="4">
        <f t="shared" si="11"/>
        <v>0</v>
      </c>
      <c r="J116" s="4">
        <f t="shared" si="12"/>
        <v>0</v>
      </c>
    </row>
    <row r="117" spans="1:10" x14ac:dyDescent="0.25">
      <c r="A117" s="3">
        <v>29</v>
      </c>
      <c r="C117" s="3"/>
      <c r="D117" s="3"/>
      <c r="E117" s="3">
        <f t="shared" si="9"/>
        <v>0</v>
      </c>
      <c r="F117" s="4"/>
      <c r="G117" s="4">
        <f t="shared" si="10"/>
        <v>0</v>
      </c>
      <c r="H117" s="3"/>
      <c r="I117" s="4">
        <f t="shared" si="11"/>
        <v>0</v>
      </c>
      <c r="J117" s="4">
        <f t="shared" si="12"/>
        <v>0</v>
      </c>
    </row>
    <row r="118" spans="1:10" x14ac:dyDescent="0.25">
      <c r="A118" s="3">
        <v>30</v>
      </c>
      <c r="C118" s="3"/>
      <c r="D118" s="3"/>
      <c r="E118" s="3">
        <f t="shared" si="9"/>
        <v>0</v>
      </c>
      <c r="F118" s="4"/>
      <c r="G118" s="4">
        <f t="shared" si="10"/>
        <v>0</v>
      </c>
      <c r="H118" s="3"/>
      <c r="I118" s="4">
        <f t="shared" si="11"/>
        <v>0</v>
      </c>
      <c r="J118" s="4">
        <f t="shared" si="12"/>
        <v>0</v>
      </c>
    </row>
    <row r="119" spans="1:10" x14ac:dyDescent="0.25">
      <c r="A119" s="3">
        <v>31</v>
      </c>
      <c r="C119" s="3"/>
      <c r="D119" s="3"/>
      <c r="E119" s="3">
        <f t="shared" si="9"/>
        <v>0</v>
      </c>
      <c r="F119" s="4"/>
      <c r="G119" s="4">
        <f t="shared" si="10"/>
        <v>0</v>
      </c>
      <c r="H119" s="3"/>
      <c r="I119" s="4">
        <f t="shared" si="11"/>
        <v>0</v>
      </c>
      <c r="J119" s="4">
        <f t="shared" si="12"/>
        <v>0</v>
      </c>
    </row>
    <row r="120" spans="1:10" x14ac:dyDescent="0.25">
      <c r="A120" s="3">
        <v>32</v>
      </c>
      <c r="C120" s="3"/>
      <c r="D120" s="3"/>
      <c r="E120" s="3">
        <f t="shared" si="9"/>
        <v>0</v>
      </c>
      <c r="F120" s="4"/>
      <c r="G120" s="4">
        <f t="shared" si="10"/>
        <v>0</v>
      </c>
      <c r="H120" s="3"/>
      <c r="I120" s="4">
        <f t="shared" si="11"/>
        <v>0</v>
      </c>
      <c r="J120" s="4">
        <f t="shared" si="12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656590</v>
      </c>
      <c r="H121" s="5"/>
      <c r="I121" s="5"/>
      <c r="J121" s="5">
        <f t="shared" ref="J121" si="13">SUM(J89:J120)</f>
        <v>367740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1101348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36F2-274A-4784-8CE5-6CB9F78CF60B}">
  <dimension ref="A1:J268"/>
  <sheetViews>
    <sheetView topLeftCell="A85" workbookViewId="0">
      <selection activeCell="A85" sqref="A1:XFD104857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>
        <v>0.5</v>
      </c>
      <c r="D3" s="3">
        <v>1</v>
      </c>
      <c r="E3" s="3">
        <f>C3+D3</f>
        <v>1.5</v>
      </c>
      <c r="F3" s="4">
        <v>36000</v>
      </c>
      <c r="G3" s="4">
        <f>F3*E3</f>
        <v>54000</v>
      </c>
      <c r="H3" s="3">
        <v>0.25</v>
      </c>
      <c r="I3" s="4">
        <f>F3</f>
        <v>36000</v>
      </c>
      <c r="J3" s="4">
        <f>I3*H3</f>
        <v>9000</v>
      </c>
    </row>
    <row r="4" spans="1:10" x14ac:dyDescent="0.25">
      <c r="A4" s="3">
        <v>2</v>
      </c>
      <c r="B4" t="s">
        <v>10</v>
      </c>
      <c r="C4" s="3"/>
      <c r="D4" s="3">
        <v>0.5</v>
      </c>
      <c r="E4" s="3">
        <f t="shared" ref="E4:E73" si="0">C4+D4</f>
        <v>0.5</v>
      </c>
      <c r="F4" s="4">
        <v>36000</v>
      </c>
      <c r="G4" s="4">
        <f t="shared" ref="G4:G73" si="1">F4*E4</f>
        <v>18000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0" x14ac:dyDescent="0.25">
      <c r="A5" s="3">
        <v>3</v>
      </c>
      <c r="B5" t="s">
        <v>11</v>
      </c>
      <c r="C5" s="3">
        <v>2</v>
      </c>
      <c r="D5" s="3">
        <v>2</v>
      </c>
      <c r="E5" s="3">
        <f t="shared" si="0"/>
        <v>4</v>
      </c>
      <c r="F5" s="4"/>
      <c r="G5" s="4">
        <f t="shared" si="1"/>
        <v>0</v>
      </c>
      <c r="H5" s="3">
        <v>4</v>
      </c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>
        <v>60000</v>
      </c>
      <c r="G6" s="4">
        <f t="shared" si="1"/>
        <v>0</v>
      </c>
      <c r="H6" s="3"/>
      <c r="I6" s="4">
        <f t="shared" si="2"/>
        <v>60000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/>
      <c r="D7" s="3">
        <v>0.5</v>
      </c>
      <c r="E7" s="3">
        <f t="shared" si="0"/>
        <v>0.5</v>
      </c>
      <c r="F7" s="4">
        <v>40000</v>
      </c>
      <c r="G7" s="4">
        <f t="shared" si="1"/>
        <v>20000</v>
      </c>
      <c r="H7" s="3">
        <v>0.25</v>
      </c>
      <c r="I7" s="4">
        <f t="shared" si="2"/>
        <v>40000</v>
      </c>
      <c r="J7" s="4">
        <f t="shared" si="3"/>
        <v>10000</v>
      </c>
    </row>
    <row r="8" spans="1:10" x14ac:dyDescent="0.25">
      <c r="A8" s="3">
        <v>6</v>
      </c>
      <c r="B8" t="s">
        <v>14</v>
      </c>
      <c r="C8" s="3"/>
      <c r="D8" s="3">
        <v>1</v>
      </c>
      <c r="E8" s="3">
        <f>C8+D8</f>
        <v>1</v>
      </c>
      <c r="F8" s="4">
        <v>50000</v>
      </c>
      <c r="G8" s="4">
        <f t="shared" si="1"/>
        <v>50000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>
        <v>0.7</v>
      </c>
      <c r="I9" s="4">
        <f t="shared" si="2"/>
        <v>13000</v>
      </c>
      <c r="J9" s="4">
        <f t="shared" si="3"/>
        <v>9100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>
        <v>1</v>
      </c>
      <c r="E14" s="3">
        <f t="shared" si="0"/>
        <v>1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/>
      <c r="E19" s="3">
        <f t="shared" si="0"/>
        <v>0</v>
      </c>
      <c r="F19" s="4">
        <v>20000</v>
      </c>
      <c r="G19" s="4">
        <f t="shared" si="1"/>
        <v>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/>
      <c r="D20" s="3"/>
      <c r="E20" s="3">
        <f t="shared" si="0"/>
        <v>0</v>
      </c>
      <c r="F20" s="4">
        <v>11000</v>
      </c>
      <c r="G20" s="4">
        <f t="shared" si="1"/>
        <v>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/>
      <c r="D23" s="3"/>
      <c r="E23" s="3">
        <f t="shared" si="0"/>
        <v>0</v>
      </c>
      <c r="F23" s="4">
        <v>8000</v>
      </c>
      <c r="G23" s="4">
        <f>F23*E23</f>
        <v>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/>
      <c r="E26" s="3">
        <f t="shared" si="0"/>
        <v>0</v>
      </c>
      <c r="F26" s="4">
        <v>11500</v>
      </c>
      <c r="G26" s="4">
        <f t="shared" si="1"/>
        <v>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/>
      <c r="D27" s="3"/>
      <c r="E27" s="3">
        <f t="shared" si="0"/>
        <v>0</v>
      </c>
      <c r="F27" s="4">
        <v>8500</v>
      </c>
      <c r="G27" s="4">
        <f t="shared" si="1"/>
        <v>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>
        <v>0.5</v>
      </c>
      <c r="E29" s="3">
        <f t="shared" si="0"/>
        <v>0.5</v>
      </c>
      <c r="F29" s="4">
        <v>24000</v>
      </c>
      <c r="G29" s="4">
        <f t="shared" si="1"/>
        <v>12000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0"/>
        <v>0.5</v>
      </c>
      <c r="F33" s="4">
        <v>56000</v>
      </c>
      <c r="G33" s="4">
        <f t="shared" si="1"/>
        <v>28000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/>
      <c r="D34" s="3">
        <v>8</v>
      </c>
      <c r="E34" s="3">
        <f t="shared" si="0"/>
        <v>8</v>
      </c>
      <c r="F34" s="4">
        <v>17500</v>
      </c>
      <c r="G34" s="4">
        <f t="shared" si="1"/>
        <v>140000</v>
      </c>
      <c r="H34" s="3">
        <v>4</v>
      </c>
      <c r="I34" s="4">
        <f t="shared" si="2"/>
        <v>17500</v>
      </c>
      <c r="J34" s="4">
        <f t="shared" si="3"/>
        <v>70000</v>
      </c>
    </row>
    <row r="35" spans="1:10" x14ac:dyDescent="0.25">
      <c r="A35" s="3">
        <v>33</v>
      </c>
      <c r="B35" t="s">
        <v>40</v>
      </c>
      <c r="C35" s="3"/>
      <c r="D35" s="3">
        <v>2</v>
      </c>
      <c r="E35" s="3">
        <f t="shared" si="0"/>
        <v>2</v>
      </c>
      <c r="F35" s="4">
        <v>3000</v>
      </c>
      <c r="G35" s="4">
        <f t="shared" si="1"/>
        <v>6000</v>
      </c>
      <c r="H35" s="3">
        <v>2</v>
      </c>
      <c r="I35" s="4">
        <f t="shared" si="2"/>
        <v>3000</v>
      </c>
      <c r="J35" s="4">
        <f t="shared" si="3"/>
        <v>6000</v>
      </c>
    </row>
    <row r="36" spans="1:10" x14ac:dyDescent="0.25">
      <c r="A36" s="3">
        <v>34</v>
      </c>
      <c r="B36" t="s">
        <v>41</v>
      </c>
      <c r="C36" s="3"/>
      <c r="D36" s="3">
        <v>2</v>
      </c>
      <c r="E36" s="3">
        <f t="shared" si="0"/>
        <v>2</v>
      </c>
      <c r="F36" s="4">
        <v>11000</v>
      </c>
      <c r="G36" s="4">
        <f t="shared" si="1"/>
        <v>22000</v>
      </c>
      <c r="H36" s="3">
        <v>2</v>
      </c>
      <c r="I36" s="4">
        <f t="shared" si="2"/>
        <v>11000</v>
      </c>
      <c r="J36" s="4">
        <f t="shared" si="3"/>
        <v>22000</v>
      </c>
    </row>
    <row r="37" spans="1:10" x14ac:dyDescent="0.25">
      <c r="A37" s="3">
        <v>35</v>
      </c>
      <c r="B37" t="s">
        <v>42</v>
      </c>
      <c r="C37" s="3"/>
      <c r="D37" s="3">
        <v>24</v>
      </c>
      <c r="E37" s="3">
        <f t="shared" si="0"/>
        <v>24</v>
      </c>
      <c r="F37" s="4">
        <v>600</v>
      </c>
      <c r="G37" s="4">
        <f t="shared" si="1"/>
        <v>14400</v>
      </c>
      <c r="H37" s="3">
        <v>24</v>
      </c>
      <c r="I37" s="4">
        <f t="shared" si="2"/>
        <v>600</v>
      </c>
      <c r="J37" s="4">
        <f t="shared" si="3"/>
        <v>14400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2</v>
      </c>
      <c r="E41" s="3">
        <f t="shared" si="0"/>
        <v>4</v>
      </c>
      <c r="F41" s="4">
        <v>83000</v>
      </c>
      <c r="G41" s="4">
        <f t="shared" si="1"/>
        <v>332000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/>
      <c r="D42" s="3">
        <v>5</v>
      </c>
      <c r="E42" s="3">
        <f t="shared" si="0"/>
        <v>5</v>
      </c>
      <c r="F42" s="4">
        <v>21000</v>
      </c>
      <c r="G42" s="4">
        <f t="shared" si="1"/>
        <v>105000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/>
      <c r="D43" s="3">
        <v>4</v>
      </c>
      <c r="E43" s="3">
        <f t="shared" si="0"/>
        <v>4</v>
      </c>
      <c r="F43" s="4">
        <v>25000</v>
      </c>
      <c r="G43" s="4">
        <f t="shared" si="1"/>
        <v>100000</v>
      </c>
      <c r="H43" s="3"/>
      <c r="I43" s="4">
        <f t="shared" si="2"/>
        <v>25000</v>
      </c>
      <c r="J43" s="4">
        <f t="shared" si="3"/>
        <v>0</v>
      </c>
    </row>
    <row r="44" spans="1:10" x14ac:dyDescent="0.25">
      <c r="A44" s="3">
        <v>42</v>
      </c>
      <c r="B44" t="s">
        <v>49</v>
      </c>
      <c r="C44" s="3"/>
      <c r="D44" s="3">
        <v>2</v>
      </c>
      <c r="E44" s="3">
        <f t="shared" si="0"/>
        <v>2</v>
      </c>
      <c r="F44" s="4">
        <v>5500</v>
      </c>
      <c r="G44" s="4">
        <f t="shared" si="1"/>
        <v>11000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/>
      <c r="D45" s="3">
        <v>3</v>
      </c>
      <c r="E45" s="3">
        <f t="shared" si="0"/>
        <v>3</v>
      </c>
      <c r="F45" s="4">
        <v>15500</v>
      </c>
      <c r="G45" s="4">
        <f t="shared" si="1"/>
        <v>46500</v>
      </c>
      <c r="H45" s="3"/>
      <c r="I45" s="4">
        <f t="shared" si="2"/>
        <v>15500</v>
      </c>
      <c r="J45" s="4">
        <f t="shared" si="3"/>
        <v>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>
        <v>1.05</v>
      </c>
      <c r="D47" s="3"/>
      <c r="E47" s="3">
        <f t="shared" si="0"/>
        <v>1.05</v>
      </c>
      <c r="F47" s="4"/>
      <c r="G47" s="4">
        <f t="shared" si="1"/>
        <v>0</v>
      </c>
      <c r="H47" s="3">
        <v>1</v>
      </c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2</v>
      </c>
      <c r="D49" s="3">
        <v>20</v>
      </c>
      <c r="E49" s="3">
        <f t="shared" si="0"/>
        <v>22</v>
      </c>
      <c r="F49" s="4">
        <v>6000</v>
      </c>
      <c r="G49" s="4">
        <f t="shared" si="1"/>
        <v>132000</v>
      </c>
      <c r="H49" s="3">
        <v>12</v>
      </c>
      <c r="I49" s="4">
        <f t="shared" si="2"/>
        <v>6000</v>
      </c>
      <c r="J49" s="4">
        <f t="shared" si="3"/>
        <v>72000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2</v>
      </c>
      <c r="D51" s="3">
        <v>3</v>
      </c>
      <c r="E51" s="3">
        <f t="shared" si="0"/>
        <v>5</v>
      </c>
      <c r="F51" s="4">
        <v>12000</v>
      </c>
      <c r="G51" s="4">
        <f>F51*E51</f>
        <v>60000</v>
      </c>
      <c r="H51" s="3">
        <v>1</v>
      </c>
      <c r="I51" s="4">
        <f t="shared" si="2"/>
        <v>12000</v>
      </c>
      <c r="J51" s="4">
        <f t="shared" si="3"/>
        <v>12000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>
        <v>7</v>
      </c>
      <c r="D57" s="3"/>
      <c r="E57" s="3">
        <f t="shared" si="0"/>
        <v>7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/>
      <c r="E61" s="3">
        <f t="shared" si="0"/>
        <v>0</v>
      </c>
      <c r="F61" s="4">
        <v>5250</v>
      </c>
      <c r="G61" s="4">
        <f t="shared" si="1"/>
        <v>0</v>
      </c>
      <c r="H61" s="3"/>
      <c r="I61" s="4">
        <f t="shared" si="2"/>
        <v>5250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10</v>
      </c>
      <c r="D64" s="3"/>
      <c r="E64" s="3">
        <f t="shared" si="0"/>
        <v>10</v>
      </c>
      <c r="F64" s="4">
        <v>4625</v>
      </c>
      <c r="G64" s="4">
        <f t="shared" si="1"/>
        <v>46250</v>
      </c>
      <c r="H64" s="3">
        <v>10</v>
      </c>
      <c r="I64" s="4">
        <f t="shared" si="2"/>
        <v>4625</v>
      </c>
      <c r="J64" s="4">
        <f t="shared" si="3"/>
        <v>46250</v>
      </c>
    </row>
    <row r="65" spans="1:10" x14ac:dyDescent="0.25">
      <c r="A65" s="3">
        <v>63</v>
      </c>
      <c r="B65" t="s">
        <v>70</v>
      </c>
      <c r="C65" s="3"/>
      <c r="D65" s="3">
        <v>20</v>
      </c>
      <c r="E65" s="3">
        <f t="shared" si="0"/>
        <v>20</v>
      </c>
      <c r="F65" s="4">
        <v>21000</v>
      </c>
      <c r="G65" s="4">
        <f t="shared" si="1"/>
        <v>420000</v>
      </c>
      <c r="H65" s="3">
        <v>11.25</v>
      </c>
      <c r="I65" s="4">
        <f t="shared" si="2"/>
        <v>21000</v>
      </c>
      <c r="J65" s="4">
        <f t="shared" si="3"/>
        <v>236250</v>
      </c>
    </row>
    <row r="66" spans="1:10" x14ac:dyDescent="0.25">
      <c r="A66" s="3">
        <v>64</v>
      </c>
      <c r="B66" t="s">
        <v>115</v>
      </c>
      <c r="C66" s="3"/>
      <c r="D66" s="3"/>
      <c r="E66" s="3">
        <f t="shared" si="0"/>
        <v>0</v>
      </c>
      <c r="F66" s="4">
        <v>100000</v>
      </c>
      <c r="G66" s="4">
        <f t="shared" si="1"/>
        <v>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/>
      <c r="D67" s="3">
        <v>2</v>
      </c>
      <c r="E67" s="3">
        <f t="shared" si="0"/>
        <v>2</v>
      </c>
      <c r="F67" s="4">
        <v>17500</v>
      </c>
      <c r="G67" s="4">
        <f t="shared" si="1"/>
        <v>35000</v>
      </c>
      <c r="H67" s="3"/>
      <c r="I67" s="4">
        <f t="shared" si="2"/>
        <v>17500</v>
      </c>
      <c r="J67" s="4">
        <f t="shared" si="3"/>
        <v>0</v>
      </c>
    </row>
    <row r="68" spans="1:10" x14ac:dyDescent="0.25">
      <c r="A68" s="3">
        <v>66</v>
      </c>
      <c r="B68" t="s">
        <v>72</v>
      </c>
      <c r="C68" s="3"/>
      <c r="D68" s="3">
        <v>4</v>
      </c>
      <c r="E68" s="3">
        <f t="shared" si="0"/>
        <v>4</v>
      </c>
      <c r="F68" s="4">
        <v>8000</v>
      </c>
      <c r="G68" s="4">
        <f t="shared" si="1"/>
        <v>32000</v>
      </c>
      <c r="H68" s="3">
        <v>1</v>
      </c>
      <c r="I68" s="4">
        <f t="shared" si="2"/>
        <v>8000</v>
      </c>
      <c r="J68" s="4">
        <f t="shared" si="3"/>
        <v>8000</v>
      </c>
    </row>
    <row r="69" spans="1:10" x14ac:dyDescent="0.25">
      <c r="A69" s="3">
        <v>67</v>
      </c>
      <c r="B69" t="s">
        <v>73</v>
      </c>
      <c r="C69" s="3">
        <v>1</v>
      </c>
      <c r="D69" s="3">
        <v>2</v>
      </c>
      <c r="E69" s="3">
        <f t="shared" si="0"/>
        <v>3</v>
      </c>
      <c r="F69" s="4"/>
      <c r="G69" s="4">
        <f t="shared" si="1"/>
        <v>0</v>
      </c>
      <c r="H69" s="3">
        <v>0.5</v>
      </c>
      <c r="I69" s="4">
        <f t="shared" si="2"/>
        <v>0</v>
      </c>
      <c r="J69" s="4">
        <f t="shared" ref="J69:J83" si="4">I69*H69</f>
        <v>0</v>
      </c>
    </row>
    <row r="70" spans="1:10" x14ac:dyDescent="0.25">
      <c r="A70" s="3">
        <v>68</v>
      </c>
      <c r="B70" t="s">
        <v>74</v>
      </c>
      <c r="C70" s="3">
        <v>3</v>
      </c>
      <c r="D70" s="3"/>
      <c r="E70" s="3">
        <f t="shared" si="0"/>
        <v>3</v>
      </c>
      <c r="F70" s="4">
        <v>24000</v>
      </c>
      <c r="G70" s="4">
        <f t="shared" si="1"/>
        <v>72000</v>
      </c>
      <c r="H70" s="3"/>
      <c r="I70" s="4">
        <f t="shared" si="2"/>
        <v>24000</v>
      </c>
      <c r="J70" s="4">
        <f t="shared" si="4"/>
        <v>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0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4"/>
        <v>0</v>
      </c>
    </row>
    <row r="72" spans="1:10" x14ac:dyDescent="0.25">
      <c r="A72" s="3">
        <v>70</v>
      </c>
      <c r="B72" t="s">
        <v>76</v>
      </c>
      <c r="C72" s="3"/>
      <c r="D72" s="3">
        <v>2</v>
      </c>
      <c r="E72" s="3">
        <f t="shared" si="0"/>
        <v>2</v>
      </c>
      <c r="F72" s="4">
        <v>15000</v>
      </c>
      <c r="G72" s="4">
        <f>F72*E72</f>
        <v>30000</v>
      </c>
      <c r="H72" s="3">
        <v>1</v>
      </c>
      <c r="I72" s="4">
        <f t="shared" si="2"/>
        <v>15000</v>
      </c>
      <c r="J72" s="4">
        <f t="shared" si="4"/>
        <v>15000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0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4"/>
        <v>0</v>
      </c>
    </row>
    <row r="74" spans="1:10" x14ac:dyDescent="0.25">
      <c r="A74" s="3">
        <v>72</v>
      </c>
      <c r="B74" t="s">
        <v>110</v>
      </c>
      <c r="C74" s="3"/>
      <c r="D74" s="3"/>
      <c r="E74" s="3">
        <f t="shared" ref="E74:E83" si="5">C74+D74</f>
        <v>0</v>
      </c>
      <c r="F74" s="4"/>
      <c r="G74" s="4">
        <f t="shared" ref="G74:G83" si="6">F74*E74</f>
        <v>0</v>
      </c>
      <c r="H74" s="3"/>
      <c r="I74" s="4">
        <f t="shared" ref="I74:I83" si="7">F74</f>
        <v>0</v>
      </c>
      <c r="J74" s="4">
        <f t="shared" si="4"/>
        <v>0</v>
      </c>
    </row>
    <row r="75" spans="1:10" x14ac:dyDescent="0.25">
      <c r="A75" s="3">
        <v>73</v>
      </c>
      <c r="B75" t="s">
        <v>111</v>
      </c>
      <c r="C75" s="3">
        <v>21</v>
      </c>
      <c r="D75" s="3"/>
      <c r="E75" s="3">
        <f t="shared" si="5"/>
        <v>21</v>
      </c>
      <c r="F75" s="4"/>
      <c r="G75" s="4">
        <f t="shared" si="6"/>
        <v>0</v>
      </c>
      <c r="H75" s="3"/>
      <c r="I75" s="4">
        <f t="shared" si="7"/>
        <v>0</v>
      </c>
      <c r="J75" s="4">
        <f t="shared" si="4"/>
        <v>0</v>
      </c>
    </row>
    <row r="76" spans="1:10" x14ac:dyDescent="0.25">
      <c r="A76" s="3">
        <v>74</v>
      </c>
      <c r="B76" t="s">
        <v>112</v>
      </c>
      <c r="C76" s="3">
        <v>6</v>
      </c>
      <c r="D76" s="3"/>
      <c r="E76" s="3">
        <f t="shared" si="5"/>
        <v>6</v>
      </c>
      <c r="F76" s="4"/>
      <c r="G76" s="4">
        <f t="shared" si="6"/>
        <v>0</v>
      </c>
      <c r="H76" s="3"/>
      <c r="I76" s="4">
        <f t="shared" si="7"/>
        <v>0</v>
      </c>
      <c r="J76" s="4">
        <f t="shared" si="4"/>
        <v>0</v>
      </c>
    </row>
    <row r="77" spans="1:10" x14ac:dyDescent="0.25">
      <c r="A77" s="3">
        <v>75</v>
      </c>
      <c r="C77" s="3"/>
      <c r="D77" s="3"/>
      <c r="E77" s="3">
        <f t="shared" si="5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4"/>
        <v>0</v>
      </c>
    </row>
    <row r="78" spans="1:10" x14ac:dyDescent="0.25">
      <c r="A78" s="3">
        <v>76</v>
      </c>
      <c r="C78" s="3"/>
      <c r="D78" s="3"/>
      <c r="E78" s="3">
        <f t="shared" si="5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4"/>
        <v>0</v>
      </c>
    </row>
    <row r="79" spans="1:10" x14ac:dyDescent="0.25">
      <c r="A79" s="3">
        <v>77</v>
      </c>
      <c r="C79" s="3"/>
      <c r="D79" s="3"/>
      <c r="E79" s="3">
        <f t="shared" si="5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4"/>
        <v>0</v>
      </c>
    </row>
    <row r="80" spans="1:10" x14ac:dyDescent="0.25">
      <c r="A80" s="3">
        <v>78</v>
      </c>
      <c r="C80" s="3"/>
      <c r="D80" s="3"/>
      <c r="E80" s="3">
        <f t="shared" si="5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4"/>
        <v>0</v>
      </c>
    </row>
    <row r="81" spans="1:10" x14ac:dyDescent="0.25">
      <c r="A81" s="3">
        <v>79</v>
      </c>
      <c r="C81" s="3"/>
      <c r="D81" s="3"/>
      <c r="E81" s="3">
        <f t="shared" si="5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4"/>
        <v>0</v>
      </c>
    </row>
    <row r="82" spans="1:10" x14ac:dyDescent="0.25">
      <c r="A82" s="3">
        <v>80</v>
      </c>
      <c r="C82" s="3"/>
      <c r="D82" s="3"/>
      <c r="E82" s="3">
        <f t="shared" si="5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4"/>
        <v>0</v>
      </c>
    </row>
    <row r="83" spans="1:10" x14ac:dyDescent="0.25">
      <c r="A83" s="3">
        <v>81</v>
      </c>
      <c r="C83" s="3"/>
      <c r="D83" s="3"/>
      <c r="E83" s="3">
        <f t="shared" si="5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4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1799150</v>
      </c>
      <c r="H85" s="5"/>
      <c r="I85" s="5"/>
      <c r="J85" s="5">
        <f t="shared" ref="J85" si="8">SUM(J3:J84)</f>
        <v>641000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/>
      <c r="D89" s="3"/>
      <c r="E89" s="3">
        <f>C89+D89</f>
        <v>0</v>
      </c>
      <c r="F89" s="4">
        <v>1240</v>
      </c>
      <c r="G89" s="4">
        <f>F89*E89</f>
        <v>0</v>
      </c>
      <c r="H89" s="3"/>
      <c r="I89" s="4">
        <f>F89</f>
        <v>1240</v>
      </c>
      <c r="J89" s="4">
        <f>I89*H89</f>
        <v>0</v>
      </c>
    </row>
    <row r="90" spans="1:10" x14ac:dyDescent="0.25">
      <c r="A90" s="3">
        <v>2</v>
      </c>
      <c r="B90" t="s">
        <v>85</v>
      </c>
      <c r="C90" s="3"/>
      <c r="D90" s="3"/>
      <c r="E90" s="3">
        <f t="shared" ref="E90:E120" si="9">C90+D90</f>
        <v>0</v>
      </c>
      <c r="F90" s="4">
        <v>1000</v>
      </c>
      <c r="G90" s="4">
        <f t="shared" ref="G90:G120" si="10">F90*E90</f>
        <v>0</v>
      </c>
      <c r="H90" s="3">
        <v>17</v>
      </c>
      <c r="I90" s="4">
        <f t="shared" ref="I90:I120" si="11">F90</f>
        <v>1000</v>
      </c>
      <c r="J90" s="4">
        <f t="shared" ref="J90:J120" si="12">I90*H90</f>
        <v>17000</v>
      </c>
    </row>
    <row r="91" spans="1:10" x14ac:dyDescent="0.25">
      <c r="A91" s="3">
        <v>3</v>
      </c>
      <c r="B91" t="s">
        <v>86</v>
      </c>
      <c r="C91" s="3"/>
      <c r="D91" s="3">
        <v>20</v>
      </c>
      <c r="E91" s="3">
        <f t="shared" si="9"/>
        <v>20</v>
      </c>
      <c r="F91" s="4">
        <v>1650</v>
      </c>
      <c r="G91" s="4">
        <f t="shared" si="10"/>
        <v>33000</v>
      </c>
      <c r="H91" s="3">
        <v>6</v>
      </c>
      <c r="I91" s="4">
        <f t="shared" si="11"/>
        <v>1650</v>
      </c>
      <c r="J91" s="4">
        <f t="shared" si="12"/>
        <v>9900</v>
      </c>
    </row>
    <row r="92" spans="1:10" x14ac:dyDescent="0.25">
      <c r="A92" s="3">
        <v>4</v>
      </c>
      <c r="B92" t="s">
        <v>87</v>
      </c>
      <c r="C92" s="3">
        <v>10</v>
      </c>
      <c r="D92" s="3">
        <v>10</v>
      </c>
      <c r="E92" s="3">
        <f t="shared" si="9"/>
        <v>20</v>
      </c>
      <c r="F92" s="4">
        <v>1650</v>
      </c>
      <c r="G92" s="4">
        <f t="shared" si="10"/>
        <v>33000</v>
      </c>
      <c r="H92" s="3">
        <v>15</v>
      </c>
      <c r="I92" s="4">
        <f t="shared" si="11"/>
        <v>1650</v>
      </c>
      <c r="J92" s="4">
        <f t="shared" si="12"/>
        <v>24750</v>
      </c>
    </row>
    <row r="93" spans="1:10" x14ac:dyDescent="0.25">
      <c r="A93" s="3">
        <v>5</v>
      </c>
      <c r="B93" t="s">
        <v>88</v>
      </c>
      <c r="C93" s="3"/>
      <c r="D93" s="3">
        <v>10</v>
      </c>
      <c r="E93" s="3">
        <f t="shared" si="9"/>
        <v>10</v>
      </c>
      <c r="F93" s="4">
        <v>1750</v>
      </c>
      <c r="G93" s="4">
        <f t="shared" si="10"/>
        <v>17500</v>
      </c>
      <c r="H93" s="3">
        <v>11</v>
      </c>
      <c r="I93" s="4">
        <f t="shared" si="11"/>
        <v>1750</v>
      </c>
      <c r="J93" s="4">
        <f t="shared" si="12"/>
        <v>19250</v>
      </c>
    </row>
    <row r="94" spans="1:10" x14ac:dyDescent="0.25">
      <c r="A94" s="3">
        <v>6</v>
      </c>
      <c r="B94" t="s">
        <v>89</v>
      </c>
      <c r="C94" s="3"/>
      <c r="D94" s="3">
        <v>12</v>
      </c>
      <c r="E94" s="3">
        <f t="shared" si="9"/>
        <v>12</v>
      </c>
      <c r="F94" s="4">
        <v>1500</v>
      </c>
      <c r="G94" s="4">
        <f t="shared" si="10"/>
        <v>18000</v>
      </c>
      <c r="H94" s="3">
        <v>3</v>
      </c>
      <c r="I94" s="4">
        <f t="shared" si="11"/>
        <v>1500</v>
      </c>
      <c r="J94" s="4">
        <f t="shared" si="12"/>
        <v>4500</v>
      </c>
    </row>
    <row r="95" spans="1:10" x14ac:dyDescent="0.25">
      <c r="A95" s="3">
        <v>7</v>
      </c>
      <c r="B95" t="s">
        <v>90</v>
      </c>
      <c r="C95" s="3"/>
      <c r="D95" s="3">
        <v>6</v>
      </c>
      <c r="E95" s="3">
        <f t="shared" si="9"/>
        <v>6</v>
      </c>
      <c r="F95" s="4">
        <v>1500</v>
      </c>
      <c r="G95" s="4">
        <f t="shared" si="10"/>
        <v>9000</v>
      </c>
      <c r="H95" s="3">
        <v>2</v>
      </c>
      <c r="I95" s="4">
        <f t="shared" si="11"/>
        <v>1500</v>
      </c>
      <c r="J95" s="4">
        <f t="shared" si="12"/>
        <v>3000</v>
      </c>
    </row>
    <row r="96" spans="1:10" x14ac:dyDescent="0.25">
      <c r="A96" s="3">
        <v>8</v>
      </c>
      <c r="B96" t="s">
        <v>91</v>
      </c>
      <c r="C96" s="3"/>
      <c r="D96" s="3"/>
      <c r="E96" s="3">
        <f t="shared" si="9"/>
        <v>0</v>
      </c>
      <c r="F96" s="4">
        <v>3350</v>
      </c>
      <c r="G96" s="4">
        <f t="shared" si="10"/>
        <v>0</v>
      </c>
      <c r="H96" s="3"/>
      <c r="I96" s="4">
        <f t="shared" si="11"/>
        <v>3350</v>
      </c>
      <c r="J96" s="4">
        <f t="shared" si="12"/>
        <v>0</v>
      </c>
    </row>
    <row r="97" spans="1:10" x14ac:dyDescent="0.25">
      <c r="A97" s="3">
        <v>9</v>
      </c>
      <c r="B97" t="s">
        <v>92</v>
      </c>
      <c r="C97" s="3">
        <v>2</v>
      </c>
      <c r="D97" s="3">
        <v>1</v>
      </c>
      <c r="E97" s="3">
        <f t="shared" si="9"/>
        <v>3</v>
      </c>
      <c r="F97" s="4">
        <v>23000</v>
      </c>
      <c r="G97" s="4">
        <f t="shared" si="10"/>
        <v>69000</v>
      </c>
      <c r="H97" s="3">
        <v>2</v>
      </c>
      <c r="I97" s="4">
        <f t="shared" si="11"/>
        <v>23000</v>
      </c>
      <c r="J97" s="4">
        <f t="shared" si="12"/>
        <v>46000</v>
      </c>
    </row>
    <row r="98" spans="1:10" x14ac:dyDescent="0.25">
      <c r="A98" s="3">
        <v>10</v>
      </c>
      <c r="B98" t="s">
        <v>93</v>
      </c>
      <c r="C98" s="3">
        <v>9</v>
      </c>
      <c r="D98" s="3">
        <v>10</v>
      </c>
      <c r="E98" s="3">
        <f t="shared" si="9"/>
        <v>19</v>
      </c>
      <c r="F98" s="4">
        <v>9000</v>
      </c>
      <c r="G98" s="4">
        <f t="shared" si="10"/>
        <v>171000</v>
      </c>
      <c r="H98" s="3">
        <v>11</v>
      </c>
      <c r="I98" s="4">
        <f t="shared" si="11"/>
        <v>9000</v>
      </c>
      <c r="J98" s="4">
        <f t="shared" si="12"/>
        <v>99000</v>
      </c>
    </row>
    <row r="99" spans="1:10" x14ac:dyDescent="0.25">
      <c r="A99" s="3">
        <v>11</v>
      </c>
      <c r="B99" t="s">
        <v>94</v>
      </c>
      <c r="C99" s="3"/>
      <c r="D99" s="3">
        <v>2</v>
      </c>
      <c r="E99" s="3">
        <f t="shared" si="9"/>
        <v>2</v>
      </c>
      <c r="F99" s="4">
        <v>6000</v>
      </c>
      <c r="G99" s="4">
        <f t="shared" si="10"/>
        <v>12000</v>
      </c>
      <c r="H99" s="3">
        <v>0.5</v>
      </c>
      <c r="I99" s="4">
        <f t="shared" si="11"/>
        <v>6000</v>
      </c>
      <c r="J99" s="4">
        <f t="shared" si="12"/>
        <v>3000</v>
      </c>
    </row>
    <row r="100" spans="1:10" x14ac:dyDescent="0.25">
      <c r="A100" s="3">
        <v>12</v>
      </c>
      <c r="B100" t="s">
        <v>95</v>
      </c>
      <c r="C100" s="3"/>
      <c r="D100" s="3">
        <v>8</v>
      </c>
      <c r="E100" s="3">
        <f t="shared" si="9"/>
        <v>8</v>
      </c>
      <c r="F100" s="4">
        <v>8000</v>
      </c>
      <c r="G100" s="4">
        <f t="shared" si="10"/>
        <v>64000</v>
      </c>
      <c r="H100" s="3"/>
      <c r="I100" s="4">
        <f t="shared" si="11"/>
        <v>8000</v>
      </c>
      <c r="J100" s="4">
        <f t="shared" si="12"/>
        <v>0</v>
      </c>
    </row>
    <row r="101" spans="1:10" x14ac:dyDescent="0.25">
      <c r="A101" s="3">
        <v>13</v>
      </c>
      <c r="B101" t="s">
        <v>96</v>
      </c>
      <c r="C101" s="3">
        <v>5</v>
      </c>
      <c r="D101" s="3">
        <v>10</v>
      </c>
      <c r="E101" s="3">
        <f t="shared" si="9"/>
        <v>15</v>
      </c>
      <c r="F101" s="4">
        <v>3300</v>
      </c>
      <c r="G101" s="4">
        <f t="shared" si="10"/>
        <v>49500</v>
      </c>
      <c r="H101" s="3">
        <v>14</v>
      </c>
      <c r="I101" s="4">
        <f t="shared" si="11"/>
        <v>3300</v>
      </c>
      <c r="J101" s="4">
        <f t="shared" si="12"/>
        <v>46200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9"/>
        <v>0</v>
      </c>
      <c r="F102" s="4"/>
      <c r="G102" s="4">
        <f t="shared" si="10"/>
        <v>0</v>
      </c>
      <c r="H102" s="3"/>
      <c r="I102" s="4">
        <f t="shared" si="11"/>
        <v>0</v>
      </c>
      <c r="J102" s="4">
        <f t="shared" si="12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9"/>
        <v>0</v>
      </c>
      <c r="F103" s="4"/>
      <c r="G103" s="4">
        <f t="shared" si="10"/>
        <v>0</v>
      </c>
      <c r="H103" s="3"/>
      <c r="I103" s="4">
        <f t="shared" si="11"/>
        <v>0</v>
      </c>
      <c r="J103" s="4">
        <f t="shared" si="12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9"/>
        <v>0</v>
      </c>
      <c r="F104" s="4"/>
      <c r="G104" s="4">
        <f t="shared" si="10"/>
        <v>0</v>
      </c>
      <c r="H104" s="3"/>
      <c r="I104" s="4">
        <f t="shared" si="11"/>
        <v>0</v>
      </c>
      <c r="J104" s="4">
        <f t="shared" si="12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9"/>
        <v>0</v>
      </c>
      <c r="F105" s="4"/>
      <c r="G105" s="4">
        <f t="shared" si="10"/>
        <v>0</v>
      </c>
      <c r="H105" s="3"/>
      <c r="I105" s="4">
        <f t="shared" si="11"/>
        <v>0</v>
      </c>
      <c r="J105" s="4">
        <f t="shared" si="12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9"/>
        <v>0</v>
      </c>
      <c r="F106" s="4"/>
      <c r="G106" s="4">
        <f t="shared" si="10"/>
        <v>0</v>
      </c>
      <c r="H106" s="3"/>
      <c r="I106" s="4">
        <f t="shared" si="11"/>
        <v>0</v>
      </c>
      <c r="J106" s="4">
        <f t="shared" si="12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9"/>
        <v>0</v>
      </c>
      <c r="F107" s="4"/>
      <c r="G107" s="4">
        <f t="shared" si="10"/>
        <v>0</v>
      </c>
      <c r="H107" s="3"/>
      <c r="I107" s="4">
        <f t="shared" si="11"/>
        <v>0</v>
      </c>
      <c r="J107" s="4">
        <f t="shared" si="12"/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9"/>
        <v>0</v>
      </c>
      <c r="F108" s="4">
        <v>6000</v>
      </c>
      <c r="G108" s="4">
        <f t="shared" si="10"/>
        <v>0</v>
      </c>
      <c r="H108" s="3"/>
      <c r="I108" s="4">
        <f t="shared" si="11"/>
        <v>6000</v>
      </c>
      <c r="J108" s="4">
        <f t="shared" si="12"/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9"/>
        <v>0</v>
      </c>
      <c r="F109" s="4">
        <v>8000</v>
      </c>
      <c r="G109" s="4">
        <f t="shared" si="10"/>
        <v>0</v>
      </c>
      <c r="H109" s="3"/>
      <c r="I109" s="4">
        <f t="shared" si="11"/>
        <v>8000</v>
      </c>
      <c r="J109" s="4">
        <f t="shared" si="12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9"/>
        <v>0</v>
      </c>
      <c r="F110" s="4"/>
      <c r="G110" s="4">
        <f t="shared" si="10"/>
        <v>0</v>
      </c>
      <c r="H110" s="3"/>
      <c r="I110" s="4">
        <f t="shared" si="11"/>
        <v>0</v>
      </c>
      <c r="J110" s="4">
        <f t="shared" si="12"/>
        <v>0</v>
      </c>
    </row>
    <row r="111" spans="1:10" x14ac:dyDescent="0.25">
      <c r="A111" s="3">
        <v>23</v>
      </c>
      <c r="B111" t="s">
        <v>106</v>
      </c>
      <c r="C111" s="3"/>
      <c r="D111" s="3">
        <v>6</v>
      </c>
      <c r="E111" s="3">
        <f t="shared" si="9"/>
        <v>6</v>
      </c>
      <c r="F111" s="4">
        <v>4000</v>
      </c>
      <c r="G111" s="4">
        <f t="shared" si="10"/>
        <v>24000</v>
      </c>
      <c r="H111" s="3">
        <v>1</v>
      </c>
      <c r="I111" s="4">
        <f t="shared" si="11"/>
        <v>4000</v>
      </c>
      <c r="J111" s="4">
        <f t="shared" si="12"/>
        <v>4000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9"/>
        <v>6</v>
      </c>
      <c r="F112" s="4">
        <v>24000</v>
      </c>
      <c r="G112" s="4">
        <f t="shared" si="10"/>
        <v>144000</v>
      </c>
      <c r="H112" s="3">
        <v>1</v>
      </c>
      <c r="I112" s="4">
        <f t="shared" si="11"/>
        <v>24000</v>
      </c>
      <c r="J112" s="4">
        <f t="shared" si="12"/>
        <v>24000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9"/>
        <v>0</v>
      </c>
      <c r="F113" s="4">
        <v>6000</v>
      </c>
      <c r="G113" s="4">
        <f t="shared" si="10"/>
        <v>0</v>
      </c>
      <c r="H113" s="3"/>
      <c r="I113" s="4">
        <f t="shared" si="11"/>
        <v>6000</v>
      </c>
      <c r="J113" s="4">
        <f t="shared" si="12"/>
        <v>0</v>
      </c>
    </row>
    <row r="114" spans="1:10" x14ac:dyDescent="0.25">
      <c r="A114" s="3">
        <v>26</v>
      </c>
      <c r="C114" s="3"/>
      <c r="D114" s="3"/>
      <c r="E114" s="3">
        <f t="shared" si="9"/>
        <v>0</v>
      </c>
      <c r="F114" s="4"/>
      <c r="G114" s="4">
        <f t="shared" si="10"/>
        <v>0</v>
      </c>
      <c r="H114" s="3"/>
      <c r="I114" s="4">
        <f t="shared" si="11"/>
        <v>0</v>
      </c>
      <c r="J114" s="4">
        <f t="shared" si="12"/>
        <v>0</v>
      </c>
    </row>
    <row r="115" spans="1:10" x14ac:dyDescent="0.25">
      <c r="A115" s="3">
        <v>27</v>
      </c>
      <c r="C115" s="3"/>
      <c r="D115" s="3"/>
      <c r="E115" s="3">
        <f t="shared" si="9"/>
        <v>0</v>
      </c>
      <c r="F115" s="4"/>
      <c r="G115" s="4">
        <f t="shared" si="10"/>
        <v>0</v>
      </c>
      <c r="H115" s="3"/>
      <c r="I115" s="4">
        <f t="shared" si="11"/>
        <v>0</v>
      </c>
      <c r="J115" s="4">
        <f t="shared" si="12"/>
        <v>0</v>
      </c>
    </row>
    <row r="116" spans="1:10" x14ac:dyDescent="0.25">
      <c r="A116" s="3">
        <v>28</v>
      </c>
      <c r="C116" s="3"/>
      <c r="D116" s="3"/>
      <c r="E116" s="3">
        <f t="shared" si="9"/>
        <v>0</v>
      </c>
      <c r="F116" s="4"/>
      <c r="G116" s="4">
        <f t="shared" si="10"/>
        <v>0</v>
      </c>
      <c r="H116" s="3"/>
      <c r="I116" s="4">
        <f t="shared" si="11"/>
        <v>0</v>
      </c>
      <c r="J116" s="4">
        <f t="shared" si="12"/>
        <v>0</v>
      </c>
    </row>
    <row r="117" spans="1:10" x14ac:dyDescent="0.25">
      <c r="A117" s="3">
        <v>29</v>
      </c>
      <c r="C117" s="3"/>
      <c r="D117" s="3"/>
      <c r="E117" s="3">
        <f t="shared" si="9"/>
        <v>0</v>
      </c>
      <c r="F117" s="4"/>
      <c r="G117" s="4">
        <f t="shared" si="10"/>
        <v>0</v>
      </c>
      <c r="H117" s="3"/>
      <c r="I117" s="4">
        <f t="shared" si="11"/>
        <v>0</v>
      </c>
      <c r="J117" s="4">
        <f t="shared" si="12"/>
        <v>0</v>
      </c>
    </row>
    <row r="118" spans="1:10" x14ac:dyDescent="0.25">
      <c r="A118" s="3">
        <v>30</v>
      </c>
      <c r="C118" s="3"/>
      <c r="D118" s="3"/>
      <c r="E118" s="3">
        <f t="shared" si="9"/>
        <v>0</v>
      </c>
      <c r="F118" s="4"/>
      <c r="G118" s="4">
        <f t="shared" si="10"/>
        <v>0</v>
      </c>
      <c r="H118" s="3"/>
      <c r="I118" s="4">
        <f t="shared" si="11"/>
        <v>0</v>
      </c>
      <c r="J118" s="4">
        <f t="shared" si="12"/>
        <v>0</v>
      </c>
    </row>
    <row r="119" spans="1:10" x14ac:dyDescent="0.25">
      <c r="A119" s="3">
        <v>31</v>
      </c>
      <c r="C119" s="3"/>
      <c r="D119" s="3"/>
      <c r="E119" s="3">
        <f t="shared" si="9"/>
        <v>0</v>
      </c>
      <c r="F119" s="4"/>
      <c r="G119" s="4">
        <f t="shared" si="10"/>
        <v>0</v>
      </c>
      <c r="H119" s="3"/>
      <c r="I119" s="4">
        <f t="shared" si="11"/>
        <v>0</v>
      </c>
      <c r="J119" s="4">
        <f t="shared" si="12"/>
        <v>0</v>
      </c>
    </row>
    <row r="120" spans="1:10" x14ac:dyDescent="0.25">
      <c r="A120" s="3">
        <v>32</v>
      </c>
      <c r="C120" s="3"/>
      <c r="D120" s="3"/>
      <c r="E120" s="3">
        <f t="shared" si="9"/>
        <v>0</v>
      </c>
      <c r="F120" s="4"/>
      <c r="G120" s="4">
        <f t="shared" si="10"/>
        <v>0</v>
      </c>
      <c r="H120" s="3"/>
      <c r="I120" s="4">
        <f t="shared" si="11"/>
        <v>0</v>
      </c>
      <c r="J120" s="4">
        <f t="shared" si="12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644000</v>
      </c>
      <c r="H121" s="5"/>
      <c r="I121" s="5"/>
      <c r="J121" s="5">
        <f t="shared" ref="J121" si="13">SUM(J89:J120)</f>
        <v>300600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941600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70BF-1D0B-4FE6-A83D-2CB407BB4116}">
  <dimension ref="A1:J268"/>
  <sheetViews>
    <sheetView topLeftCell="A100" workbookViewId="0">
      <selection activeCell="E118" sqref="E118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>
        <v>0.25</v>
      </c>
      <c r="D3" s="3"/>
      <c r="E3" s="3">
        <f t="shared" ref="E3:E23" si="0">C3+D3</f>
        <v>0.25</v>
      </c>
      <c r="F3" s="4">
        <v>36000</v>
      </c>
      <c r="G3" s="4">
        <f>F3*E3</f>
        <v>9000</v>
      </c>
      <c r="H3" s="3">
        <v>0.25</v>
      </c>
      <c r="I3" s="4">
        <f>F3</f>
        <v>36000</v>
      </c>
      <c r="J3" s="4">
        <f>I3*H3</f>
        <v>9000</v>
      </c>
    </row>
    <row r="4" spans="1:10" x14ac:dyDescent="0.25">
      <c r="A4" s="3">
        <v>2</v>
      </c>
      <c r="B4" t="s">
        <v>10</v>
      </c>
      <c r="C4" s="3"/>
      <c r="D4" s="3"/>
      <c r="E4" s="3">
        <f t="shared" si="0"/>
        <v>0</v>
      </c>
      <c r="F4" s="4">
        <v>36000</v>
      </c>
      <c r="G4" s="4">
        <f t="shared" ref="G4:G73" si="1">F4*E4</f>
        <v>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0" x14ac:dyDescent="0.25">
      <c r="A5" s="3">
        <v>3</v>
      </c>
      <c r="B5" t="s">
        <v>11</v>
      </c>
      <c r="C5" s="3">
        <v>4</v>
      </c>
      <c r="D5" s="3"/>
      <c r="E5" s="3">
        <f t="shared" si="0"/>
        <v>4</v>
      </c>
      <c r="F5" s="4"/>
      <c r="G5" s="4">
        <f t="shared" si="1"/>
        <v>0</v>
      </c>
      <c r="H5" s="3">
        <v>4</v>
      </c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>
        <v>60000</v>
      </c>
      <c r="G6" s="4">
        <f t="shared" si="1"/>
        <v>0</v>
      </c>
      <c r="H6" s="3"/>
      <c r="I6" s="4">
        <f t="shared" si="2"/>
        <v>60000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>
        <v>0.25</v>
      </c>
      <c r="D7" s="3"/>
      <c r="E7" s="3">
        <f t="shared" si="0"/>
        <v>0.25</v>
      </c>
      <c r="F7" s="4">
        <v>40000</v>
      </c>
      <c r="G7" s="4">
        <f t="shared" si="1"/>
        <v>10000</v>
      </c>
      <c r="H7" s="3">
        <v>0.25</v>
      </c>
      <c r="I7" s="4">
        <f t="shared" si="2"/>
        <v>40000</v>
      </c>
      <c r="J7" s="4">
        <f t="shared" si="3"/>
        <v>10000</v>
      </c>
    </row>
    <row r="8" spans="1:10" x14ac:dyDescent="0.25">
      <c r="A8" s="3">
        <v>6</v>
      </c>
      <c r="B8" t="s">
        <v>14</v>
      </c>
      <c r="C8" s="3"/>
      <c r="D8" s="3"/>
      <c r="E8" s="3">
        <f t="shared" si="0"/>
        <v>0</v>
      </c>
      <c r="F8" s="4">
        <v>50000</v>
      </c>
      <c r="G8" s="4">
        <f t="shared" si="1"/>
        <v>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>
        <v>0.7</v>
      </c>
      <c r="D9" s="3"/>
      <c r="E9" s="3">
        <f t="shared" si="0"/>
        <v>0.7</v>
      </c>
      <c r="F9" s="4">
        <v>13000</v>
      </c>
      <c r="G9" s="4">
        <f t="shared" si="1"/>
        <v>9100</v>
      </c>
      <c r="H9" s="3">
        <v>0.7</v>
      </c>
      <c r="I9" s="4">
        <f t="shared" si="2"/>
        <v>13000</v>
      </c>
      <c r="J9" s="4">
        <f t="shared" si="3"/>
        <v>9100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/>
      <c r="E19" s="3">
        <f t="shared" si="0"/>
        <v>0</v>
      </c>
      <c r="F19" s="4">
        <v>20000</v>
      </c>
      <c r="G19" s="4">
        <f t="shared" si="1"/>
        <v>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/>
      <c r="D20" s="3"/>
      <c r="E20" s="3">
        <f t="shared" si="0"/>
        <v>0</v>
      </c>
      <c r="F20" s="4">
        <v>11000</v>
      </c>
      <c r="G20" s="4">
        <f t="shared" si="1"/>
        <v>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/>
      <c r="D23" s="3"/>
      <c r="E23" s="3">
        <f t="shared" si="0"/>
        <v>0</v>
      </c>
      <c r="F23" s="4">
        <v>8000</v>
      </c>
      <c r="G23" s="4">
        <f>F23*E23</f>
        <v>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ref="E24:E73" si="4">C24+D24</f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4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/>
      <c r="E26" s="3">
        <f t="shared" si="4"/>
        <v>0</v>
      </c>
      <c r="F26" s="4">
        <v>11500</v>
      </c>
      <c r="G26" s="4">
        <f t="shared" si="1"/>
        <v>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/>
      <c r="D27" s="3"/>
      <c r="E27" s="3">
        <f t="shared" si="4"/>
        <v>0</v>
      </c>
      <c r="F27" s="4">
        <v>8500</v>
      </c>
      <c r="G27" s="4">
        <f t="shared" si="1"/>
        <v>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4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/>
      <c r="E29" s="3">
        <f t="shared" si="4"/>
        <v>0</v>
      </c>
      <c r="F29" s="4">
        <v>24000</v>
      </c>
      <c r="G29" s="4">
        <f t="shared" si="1"/>
        <v>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4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4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4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4"/>
        <v>0.5</v>
      </c>
      <c r="F33" s="4">
        <v>56000</v>
      </c>
      <c r="G33" s="4">
        <f t="shared" si="1"/>
        <v>28000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>
        <v>4</v>
      </c>
      <c r="D34" s="3"/>
      <c r="E34" s="3">
        <f t="shared" si="4"/>
        <v>4</v>
      </c>
      <c r="F34" s="4">
        <v>17500</v>
      </c>
      <c r="G34" s="4">
        <f t="shared" si="1"/>
        <v>70000</v>
      </c>
      <c r="H34" s="3">
        <v>4</v>
      </c>
      <c r="I34" s="4">
        <f t="shared" si="2"/>
        <v>17500</v>
      </c>
      <c r="J34" s="4">
        <f t="shared" si="3"/>
        <v>70000</v>
      </c>
    </row>
    <row r="35" spans="1:10" x14ac:dyDescent="0.25">
      <c r="A35" s="3">
        <v>33</v>
      </c>
      <c r="B35" t="s">
        <v>40</v>
      </c>
      <c r="C35" s="3">
        <v>2</v>
      </c>
      <c r="D35" s="3"/>
      <c r="E35" s="3">
        <f t="shared" si="4"/>
        <v>2</v>
      </c>
      <c r="F35" s="4">
        <v>3000</v>
      </c>
      <c r="G35" s="4">
        <f t="shared" si="1"/>
        <v>6000</v>
      </c>
      <c r="H35" s="3">
        <v>2</v>
      </c>
      <c r="I35" s="4">
        <f t="shared" si="2"/>
        <v>3000</v>
      </c>
      <c r="J35" s="4">
        <f t="shared" si="3"/>
        <v>6000</v>
      </c>
    </row>
    <row r="36" spans="1:10" x14ac:dyDescent="0.25">
      <c r="A36" s="3">
        <v>34</v>
      </c>
      <c r="B36" t="s">
        <v>41</v>
      </c>
      <c r="C36" s="3">
        <v>2</v>
      </c>
      <c r="D36" s="3"/>
      <c r="E36" s="3">
        <f t="shared" si="4"/>
        <v>2</v>
      </c>
      <c r="F36" s="4">
        <v>11000</v>
      </c>
      <c r="G36" s="4">
        <f t="shared" si="1"/>
        <v>22000</v>
      </c>
      <c r="H36" s="3">
        <v>2</v>
      </c>
      <c r="I36" s="4">
        <f t="shared" si="2"/>
        <v>11000</v>
      </c>
      <c r="J36" s="4">
        <f t="shared" si="3"/>
        <v>22000</v>
      </c>
    </row>
    <row r="37" spans="1:10" x14ac:dyDescent="0.25">
      <c r="A37" s="3">
        <v>35</v>
      </c>
      <c r="B37" t="s">
        <v>42</v>
      </c>
      <c r="C37" s="3">
        <v>24</v>
      </c>
      <c r="D37" s="3"/>
      <c r="E37" s="3">
        <f t="shared" si="4"/>
        <v>24</v>
      </c>
      <c r="F37" s="4">
        <v>600</v>
      </c>
      <c r="G37" s="4">
        <f t="shared" si="1"/>
        <v>14400</v>
      </c>
      <c r="H37" s="3">
        <v>24</v>
      </c>
      <c r="I37" s="4">
        <f t="shared" si="2"/>
        <v>600</v>
      </c>
      <c r="J37" s="4">
        <f t="shared" si="3"/>
        <v>14400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4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4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4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/>
      <c r="E41" s="3">
        <f t="shared" si="4"/>
        <v>1</v>
      </c>
      <c r="F41" s="4">
        <v>83000</v>
      </c>
      <c r="G41" s="4">
        <f t="shared" si="1"/>
        <v>83000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/>
      <c r="D42" s="3"/>
      <c r="E42" s="3">
        <f t="shared" si="4"/>
        <v>0</v>
      </c>
      <c r="F42" s="4">
        <v>21000</v>
      </c>
      <c r="G42" s="4">
        <f t="shared" si="1"/>
        <v>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/>
      <c r="D43" s="3"/>
      <c r="E43" s="3">
        <f t="shared" si="4"/>
        <v>0</v>
      </c>
      <c r="F43" s="4">
        <v>25000</v>
      </c>
      <c r="G43" s="4">
        <f t="shared" si="1"/>
        <v>0</v>
      </c>
      <c r="H43" s="3"/>
      <c r="I43" s="4">
        <f t="shared" si="2"/>
        <v>25000</v>
      </c>
      <c r="J43" s="4">
        <f t="shared" si="3"/>
        <v>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4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/>
      <c r="D45" s="3"/>
      <c r="E45" s="3">
        <f t="shared" si="4"/>
        <v>0</v>
      </c>
      <c r="F45" s="4">
        <v>15500</v>
      </c>
      <c r="G45" s="4">
        <f t="shared" si="1"/>
        <v>0</v>
      </c>
      <c r="H45" s="3"/>
      <c r="I45" s="4">
        <f t="shared" si="2"/>
        <v>15500</v>
      </c>
      <c r="J45" s="4">
        <f t="shared" si="3"/>
        <v>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4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>
        <v>1</v>
      </c>
      <c r="D47" s="3"/>
      <c r="E47" s="3">
        <f t="shared" si="4"/>
        <v>1</v>
      </c>
      <c r="F47" s="4"/>
      <c r="G47" s="4">
        <f t="shared" si="1"/>
        <v>0</v>
      </c>
      <c r="H47" s="3">
        <v>1</v>
      </c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4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12</v>
      </c>
      <c r="D49" s="3"/>
      <c r="E49" s="3">
        <f t="shared" si="4"/>
        <v>12</v>
      </c>
      <c r="F49" s="4">
        <v>6000</v>
      </c>
      <c r="G49" s="4">
        <f t="shared" si="1"/>
        <v>72000</v>
      </c>
      <c r="H49" s="3">
        <v>12</v>
      </c>
      <c r="I49" s="4">
        <f t="shared" si="2"/>
        <v>6000</v>
      </c>
      <c r="J49" s="4">
        <f t="shared" si="3"/>
        <v>72000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4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</v>
      </c>
      <c r="D51" s="3"/>
      <c r="E51" s="3">
        <f t="shared" si="4"/>
        <v>1</v>
      </c>
      <c r="F51" s="4">
        <v>12000</v>
      </c>
      <c r="G51" s="4">
        <f>F51*E51</f>
        <v>12000</v>
      </c>
      <c r="H51" s="3">
        <v>1</v>
      </c>
      <c r="I51" s="4">
        <f t="shared" si="2"/>
        <v>12000</v>
      </c>
      <c r="J51" s="4">
        <f t="shared" si="3"/>
        <v>12000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4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4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4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4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4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4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4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4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4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/>
      <c r="E61" s="3">
        <f t="shared" si="4"/>
        <v>0</v>
      </c>
      <c r="F61" s="4">
        <v>5250</v>
      </c>
      <c r="G61" s="4">
        <f t="shared" si="1"/>
        <v>0</v>
      </c>
      <c r="H61" s="3"/>
      <c r="I61" s="4">
        <f t="shared" si="2"/>
        <v>5250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4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4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10</v>
      </c>
      <c r="D64" s="3"/>
      <c r="E64" s="3">
        <f t="shared" si="4"/>
        <v>10</v>
      </c>
      <c r="F64" s="4">
        <v>4625</v>
      </c>
      <c r="G64" s="4">
        <f t="shared" si="1"/>
        <v>46250</v>
      </c>
      <c r="H64" s="3">
        <v>10</v>
      </c>
      <c r="I64" s="4">
        <f t="shared" si="2"/>
        <v>4625</v>
      </c>
      <c r="J64" s="4">
        <f t="shared" si="3"/>
        <v>46250</v>
      </c>
    </row>
    <row r="65" spans="1:10" x14ac:dyDescent="0.25">
      <c r="A65" s="3">
        <v>63</v>
      </c>
      <c r="B65" t="s">
        <v>70</v>
      </c>
      <c r="C65" s="3">
        <v>11.25</v>
      </c>
      <c r="D65" s="3"/>
      <c r="E65" s="3">
        <f t="shared" si="4"/>
        <v>11.25</v>
      </c>
      <c r="F65" s="4">
        <v>21000</v>
      </c>
      <c r="G65" s="4">
        <f t="shared" si="1"/>
        <v>236250</v>
      </c>
      <c r="H65" s="3">
        <v>11.25</v>
      </c>
      <c r="I65" s="4">
        <f t="shared" si="2"/>
        <v>21000</v>
      </c>
      <c r="J65" s="4">
        <f t="shared" si="3"/>
        <v>236250</v>
      </c>
    </row>
    <row r="66" spans="1:10" x14ac:dyDescent="0.25">
      <c r="A66" s="3">
        <v>64</v>
      </c>
      <c r="B66" t="s">
        <v>115</v>
      </c>
      <c r="C66" s="3"/>
      <c r="D66" s="3"/>
      <c r="E66" s="3">
        <f t="shared" si="4"/>
        <v>0</v>
      </c>
      <c r="F66" s="4">
        <v>100000</v>
      </c>
      <c r="G66" s="4">
        <f t="shared" si="1"/>
        <v>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/>
      <c r="D67" s="3"/>
      <c r="E67" s="3">
        <f t="shared" si="4"/>
        <v>0</v>
      </c>
      <c r="F67" s="4">
        <v>17500</v>
      </c>
      <c r="G67" s="4">
        <f t="shared" si="1"/>
        <v>0</v>
      </c>
      <c r="H67" s="3"/>
      <c r="I67" s="4">
        <f t="shared" si="2"/>
        <v>17500</v>
      </c>
      <c r="J67" s="4">
        <f t="shared" si="3"/>
        <v>0</v>
      </c>
    </row>
    <row r="68" spans="1:10" x14ac:dyDescent="0.25">
      <c r="A68" s="3">
        <v>66</v>
      </c>
      <c r="B68" t="s">
        <v>72</v>
      </c>
      <c r="C68" s="3">
        <v>1</v>
      </c>
      <c r="D68" s="3"/>
      <c r="E68" s="3">
        <f t="shared" si="4"/>
        <v>1</v>
      </c>
      <c r="F68" s="4">
        <v>8000</v>
      </c>
      <c r="G68" s="4">
        <f t="shared" si="1"/>
        <v>8000</v>
      </c>
      <c r="H68" s="3">
        <v>1</v>
      </c>
      <c r="I68" s="4">
        <f t="shared" si="2"/>
        <v>8000</v>
      </c>
      <c r="J68" s="4">
        <f t="shared" si="3"/>
        <v>8000</v>
      </c>
    </row>
    <row r="69" spans="1:10" x14ac:dyDescent="0.25">
      <c r="A69" s="3">
        <v>67</v>
      </c>
      <c r="B69" t="s">
        <v>73</v>
      </c>
      <c r="C69" s="3">
        <v>0.5</v>
      </c>
      <c r="D69" s="3"/>
      <c r="E69" s="3">
        <f t="shared" si="4"/>
        <v>0.5</v>
      </c>
      <c r="F69" s="4"/>
      <c r="G69" s="4">
        <f t="shared" si="1"/>
        <v>0</v>
      </c>
      <c r="H69" s="3">
        <v>0.5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/>
      <c r="D70" s="3"/>
      <c r="E70" s="3">
        <f t="shared" si="4"/>
        <v>0</v>
      </c>
      <c r="F70" s="4">
        <v>24000</v>
      </c>
      <c r="G70" s="4">
        <f t="shared" si="1"/>
        <v>0</v>
      </c>
      <c r="H70" s="3"/>
      <c r="I70" s="4">
        <f t="shared" si="2"/>
        <v>24000</v>
      </c>
      <c r="J70" s="4">
        <f t="shared" si="5"/>
        <v>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/>
      <c r="E72" s="3">
        <f t="shared" si="4"/>
        <v>1</v>
      </c>
      <c r="F72" s="4">
        <v>15000</v>
      </c>
      <c r="G72" s="4">
        <f>F72*E72</f>
        <v>15000</v>
      </c>
      <c r="H72" s="3">
        <v>1</v>
      </c>
      <c r="I72" s="4">
        <f t="shared" si="2"/>
        <v>15000</v>
      </c>
      <c r="J72" s="4">
        <f t="shared" si="5"/>
        <v>15000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/>
      <c r="D74" s="3"/>
      <c r="E74" s="3">
        <f t="shared" ref="E74:E83" si="6">C74+D74</f>
        <v>0</v>
      </c>
      <c r="F74" s="4"/>
      <c r="G74" s="4">
        <f t="shared" ref="G74:G83" si="7">F74*E74</f>
        <v>0</v>
      </c>
      <c r="H74" s="3"/>
      <c r="I74" s="4">
        <f t="shared" ref="I74:I83" si="8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/>
      <c r="D75" s="3"/>
      <c r="E75" s="3">
        <f t="shared" si="6"/>
        <v>0</v>
      </c>
      <c r="F75" s="4"/>
      <c r="G75" s="4">
        <f t="shared" si="7"/>
        <v>0</v>
      </c>
      <c r="H75" s="3"/>
      <c r="I75" s="4">
        <f t="shared" si="8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/>
      <c r="D76" s="3"/>
      <c r="E76" s="3">
        <f t="shared" si="6"/>
        <v>0</v>
      </c>
      <c r="F76" s="4"/>
      <c r="G76" s="4">
        <f t="shared" si="7"/>
        <v>0</v>
      </c>
      <c r="H76" s="3"/>
      <c r="I76" s="4">
        <f t="shared" si="8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6"/>
        <v>0</v>
      </c>
      <c r="F77" s="4"/>
      <c r="G77" s="4">
        <f t="shared" si="7"/>
        <v>0</v>
      </c>
      <c r="H77" s="3"/>
      <c r="I77" s="4">
        <f t="shared" si="8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6"/>
        <v>0</v>
      </c>
      <c r="F78" s="4"/>
      <c r="G78" s="4">
        <f t="shared" si="7"/>
        <v>0</v>
      </c>
      <c r="H78" s="3"/>
      <c r="I78" s="4">
        <f t="shared" si="8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6"/>
        <v>0</v>
      </c>
      <c r="F79" s="4"/>
      <c r="G79" s="4">
        <f t="shared" si="7"/>
        <v>0</v>
      </c>
      <c r="H79" s="3"/>
      <c r="I79" s="4">
        <f t="shared" si="8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6"/>
        <v>0</v>
      </c>
      <c r="F80" s="4"/>
      <c r="G80" s="4">
        <f t="shared" si="7"/>
        <v>0</v>
      </c>
      <c r="H80" s="3"/>
      <c r="I80" s="4">
        <f t="shared" si="8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6"/>
        <v>0</v>
      </c>
      <c r="F81" s="4"/>
      <c r="G81" s="4">
        <f t="shared" si="7"/>
        <v>0</v>
      </c>
      <c r="H81" s="3"/>
      <c r="I81" s="4">
        <f t="shared" si="8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6"/>
        <v>0</v>
      </c>
      <c r="F82" s="4"/>
      <c r="G82" s="4">
        <f t="shared" si="7"/>
        <v>0</v>
      </c>
      <c r="H82" s="3"/>
      <c r="I82" s="4">
        <f t="shared" si="8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6"/>
        <v>0</v>
      </c>
      <c r="F83" s="4"/>
      <c r="G83" s="4">
        <f t="shared" si="7"/>
        <v>0</v>
      </c>
      <c r="H83" s="3"/>
      <c r="I83" s="4">
        <f t="shared" si="8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641000</v>
      </c>
      <c r="H85" s="5"/>
      <c r="I85" s="5"/>
      <c r="J85" s="5">
        <f t="shared" ref="J85" si="9">SUM(J3:J84)</f>
        <v>641000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/>
      <c r="D89" s="3"/>
      <c r="E89" s="3">
        <f>C89+D89</f>
        <v>0</v>
      </c>
      <c r="F89" s="4">
        <v>1240</v>
      </c>
      <c r="G89" s="4">
        <f>F89*E89</f>
        <v>0</v>
      </c>
      <c r="H89" s="3"/>
      <c r="I89" s="4">
        <f>F89</f>
        <v>1240</v>
      </c>
      <c r="J89" s="4">
        <f>I89*H89</f>
        <v>0</v>
      </c>
    </row>
    <row r="90" spans="1:10" x14ac:dyDescent="0.25">
      <c r="A90" s="3">
        <v>2</v>
      </c>
      <c r="B90" t="s">
        <v>85</v>
      </c>
      <c r="C90" s="3">
        <v>17</v>
      </c>
      <c r="D90" s="3"/>
      <c r="E90" s="3">
        <f t="shared" ref="E90:E120" si="10">C90+D90</f>
        <v>17</v>
      </c>
      <c r="F90" s="4">
        <v>1000</v>
      </c>
      <c r="G90" s="4">
        <f t="shared" ref="G90:G120" si="11">F90*E90</f>
        <v>17000</v>
      </c>
      <c r="H90" s="3">
        <v>17</v>
      </c>
      <c r="I90" s="4">
        <f t="shared" ref="I90:I120" si="12">F90</f>
        <v>1000</v>
      </c>
      <c r="J90" s="4">
        <f t="shared" ref="J90:J120" si="13">I90*H90</f>
        <v>17000</v>
      </c>
    </row>
    <row r="91" spans="1:10" x14ac:dyDescent="0.25">
      <c r="A91" s="3">
        <v>3</v>
      </c>
      <c r="B91" t="s">
        <v>86</v>
      </c>
      <c r="C91" s="3">
        <v>6</v>
      </c>
      <c r="D91" s="3"/>
      <c r="E91" s="3">
        <f t="shared" si="10"/>
        <v>6</v>
      </c>
      <c r="F91" s="4">
        <v>1650</v>
      </c>
      <c r="G91" s="4">
        <f t="shared" si="11"/>
        <v>9900</v>
      </c>
      <c r="H91" s="3">
        <v>6</v>
      </c>
      <c r="I91" s="4">
        <f t="shared" si="12"/>
        <v>1650</v>
      </c>
      <c r="J91" s="4">
        <f t="shared" si="13"/>
        <v>9900</v>
      </c>
    </row>
    <row r="92" spans="1:10" x14ac:dyDescent="0.25">
      <c r="A92" s="3">
        <v>4</v>
      </c>
      <c r="B92" t="s">
        <v>87</v>
      </c>
      <c r="C92" s="3">
        <v>15</v>
      </c>
      <c r="D92" s="3"/>
      <c r="E92" s="3">
        <f t="shared" si="10"/>
        <v>15</v>
      </c>
      <c r="F92" s="4">
        <v>1650</v>
      </c>
      <c r="G92" s="4">
        <f t="shared" si="11"/>
        <v>24750</v>
      </c>
      <c r="H92" s="3">
        <v>15</v>
      </c>
      <c r="I92" s="4">
        <f t="shared" si="12"/>
        <v>1650</v>
      </c>
      <c r="J92" s="4">
        <f t="shared" si="13"/>
        <v>24750</v>
      </c>
    </row>
    <row r="93" spans="1:10" x14ac:dyDescent="0.25">
      <c r="A93" s="3">
        <v>5</v>
      </c>
      <c r="B93" t="s">
        <v>88</v>
      </c>
      <c r="C93" s="3">
        <v>11</v>
      </c>
      <c r="D93" s="3"/>
      <c r="E93" s="3">
        <f t="shared" si="10"/>
        <v>11</v>
      </c>
      <c r="F93" s="4">
        <v>1750</v>
      </c>
      <c r="G93" s="4">
        <f t="shared" si="11"/>
        <v>19250</v>
      </c>
      <c r="H93" s="3">
        <v>11</v>
      </c>
      <c r="I93" s="4">
        <f t="shared" si="12"/>
        <v>1750</v>
      </c>
      <c r="J93" s="4">
        <f t="shared" si="13"/>
        <v>19250</v>
      </c>
    </row>
    <row r="94" spans="1:10" x14ac:dyDescent="0.25">
      <c r="A94" s="3">
        <v>6</v>
      </c>
      <c r="B94" t="s">
        <v>89</v>
      </c>
      <c r="C94" s="3">
        <v>3</v>
      </c>
      <c r="D94" s="3"/>
      <c r="E94" s="3">
        <f t="shared" si="10"/>
        <v>3</v>
      </c>
      <c r="F94" s="4">
        <v>1500</v>
      </c>
      <c r="G94" s="4">
        <f t="shared" si="11"/>
        <v>4500</v>
      </c>
      <c r="H94" s="3">
        <v>3</v>
      </c>
      <c r="I94" s="4">
        <f t="shared" si="12"/>
        <v>1500</v>
      </c>
      <c r="J94" s="4">
        <f t="shared" si="13"/>
        <v>4500</v>
      </c>
    </row>
    <row r="95" spans="1:10" x14ac:dyDescent="0.25">
      <c r="A95" s="3">
        <v>7</v>
      </c>
      <c r="B95" t="s">
        <v>90</v>
      </c>
      <c r="C95" s="3">
        <v>2</v>
      </c>
      <c r="D95" s="3"/>
      <c r="E95" s="3">
        <f t="shared" si="10"/>
        <v>2</v>
      </c>
      <c r="F95" s="4">
        <v>1500</v>
      </c>
      <c r="G95" s="4">
        <f t="shared" si="11"/>
        <v>3000</v>
      </c>
      <c r="H95" s="3">
        <v>2</v>
      </c>
      <c r="I95" s="4">
        <f t="shared" si="12"/>
        <v>1500</v>
      </c>
      <c r="J95" s="4">
        <f t="shared" si="13"/>
        <v>3000</v>
      </c>
    </row>
    <row r="96" spans="1:10" x14ac:dyDescent="0.25">
      <c r="A96" s="3">
        <v>8</v>
      </c>
      <c r="B96" t="s">
        <v>91</v>
      </c>
      <c r="C96" s="3"/>
      <c r="D96" s="3"/>
      <c r="E96" s="3">
        <f t="shared" si="10"/>
        <v>0</v>
      </c>
      <c r="F96" s="4">
        <v>3350</v>
      </c>
      <c r="G96" s="4">
        <f t="shared" si="11"/>
        <v>0</v>
      </c>
      <c r="H96" s="3">
        <v>14</v>
      </c>
      <c r="I96" s="4">
        <f t="shared" si="12"/>
        <v>3350</v>
      </c>
      <c r="J96" s="4">
        <f t="shared" si="13"/>
        <v>46900</v>
      </c>
    </row>
    <row r="97" spans="1:10" x14ac:dyDescent="0.25">
      <c r="A97" s="3">
        <v>9</v>
      </c>
      <c r="B97" t="s">
        <v>92</v>
      </c>
      <c r="C97" s="3">
        <v>2</v>
      </c>
      <c r="D97" s="3"/>
      <c r="E97" s="3">
        <f t="shared" si="10"/>
        <v>2</v>
      </c>
      <c r="F97" s="4">
        <v>23000</v>
      </c>
      <c r="G97" s="4">
        <f t="shared" si="11"/>
        <v>46000</v>
      </c>
      <c r="H97" s="3">
        <v>2</v>
      </c>
      <c r="I97" s="4">
        <f t="shared" si="12"/>
        <v>23000</v>
      </c>
      <c r="J97" s="4">
        <f t="shared" si="13"/>
        <v>46000</v>
      </c>
    </row>
    <row r="98" spans="1:10" x14ac:dyDescent="0.25">
      <c r="A98" s="3">
        <v>10</v>
      </c>
      <c r="B98" t="s">
        <v>93</v>
      </c>
      <c r="C98" s="3">
        <v>11</v>
      </c>
      <c r="D98" s="3"/>
      <c r="E98" s="3">
        <f t="shared" si="10"/>
        <v>11</v>
      </c>
      <c r="F98" s="4">
        <v>9000</v>
      </c>
      <c r="G98" s="4">
        <f t="shared" si="11"/>
        <v>99000</v>
      </c>
      <c r="H98" s="3">
        <v>11</v>
      </c>
      <c r="I98" s="4">
        <f t="shared" si="12"/>
        <v>9000</v>
      </c>
      <c r="J98" s="4">
        <f t="shared" si="13"/>
        <v>99000</v>
      </c>
    </row>
    <row r="99" spans="1:10" x14ac:dyDescent="0.25">
      <c r="A99" s="3">
        <v>11</v>
      </c>
      <c r="B99" t="s">
        <v>94</v>
      </c>
      <c r="C99" s="3">
        <v>0.5</v>
      </c>
      <c r="D99" s="3"/>
      <c r="E99" s="3">
        <f t="shared" si="10"/>
        <v>0.5</v>
      </c>
      <c r="F99" s="4">
        <v>6000</v>
      </c>
      <c r="G99" s="4">
        <f t="shared" si="11"/>
        <v>3000</v>
      </c>
      <c r="H99" s="3">
        <v>0.5</v>
      </c>
      <c r="I99" s="4">
        <f t="shared" si="12"/>
        <v>6000</v>
      </c>
      <c r="J99" s="4">
        <f t="shared" si="13"/>
        <v>3000</v>
      </c>
    </row>
    <row r="100" spans="1:10" x14ac:dyDescent="0.25">
      <c r="A100" s="3">
        <v>12</v>
      </c>
      <c r="B100" t="s">
        <v>95</v>
      </c>
      <c r="C100" s="3"/>
      <c r="D100" s="3"/>
      <c r="E100" s="3">
        <f t="shared" si="10"/>
        <v>0</v>
      </c>
      <c r="F100" s="4">
        <v>8000</v>
      </c>
      <c r="G100" s="4">
        <f t="shared" si="11"/>
        <v>0</v>
      </c>
      <c r="H100" s="3"/>
      <c r="I100" s="4">
        <f t="shared" si="12"/>
        <v>8000</v>
      </c>
      <c r="J100" s="4">
        <f t="shared" si="13"/>
        <v>0</v>
      </c>
    </row>
    <row r="101" spans="1:10" x14ac:dyDescent="0.25">
      <c r="A101" s="3">
        <v>13</v>
      </c>
      <c r="B101" t="s">
        <v>96</v>
      </c>
      <c r="C101" s="3">
        <v>14</v>
      </c>
      <c r="D101" s="3"/>
      <c r="E101" s="3">
        <f t="shared" si="10"/>
        <v>14</v>
      </c>
      <c r="F101" s="4">
        <v>3300</v>
      </c>
      <c r="G101" s="4">
        <f t="shared" si="11"/>
        <v>46200</v>
      </c>
      <c r="H101" s="3">
        <v>14</v>
      </c>
      <c r="I101" s="4">
        <f t="shared" si="12"/>
        <v>3300</v>
      </c>
      <c r="J101" s="4">
        <f t="shared" si="13"/>
        <v>46200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0"/>
        <v>0</v>
      </c>
      <c r="F102" s="4"/>
      <c r="G102" s="4">
        <f t="shared" si="11"/>
        <v>0</v>
      </c>
      <c r="H102" s="3"/>
      <c r="I102" s="4">
        <f t="shared" si="12"/>
        <v>0</v>
      </c>
      <c r="J102" s="4">
        <f t="shared" si="13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0"/>
        <v>0</v>
      </c>
      <c r="F103" s="4"/>
      <c r="G103" s="4">
        <f t="shared" si="11"/>
        <v>0</v>
      </c>
      <c r="H103" s="3"/>
      <c r="I103" s="4">
        <f t="shared" si="12"/>
        <v>0</v>
      </c>
      <c r="J103" s="4">
        <f t="shared" si="13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0"/>
        <v>0</v>
      </c>
      <c r="F104" s="4"/>
      <c r="G104" s="4">
        <f t="shared" si="11"/>
        <v>0</v>
      </c>
      <c r="H104" s="3"/>
      <c r="I104" s="4">
        <f t="shared" si="12"/>
        <v>0</v>
      </c>
      <c r="J104" s="4">
        <f t="shared" si="13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0"/>
        <v>0</v>
      </c>
      <c r="F105" s="4"/>
      <c r="G105" s="4">
        <f t="shared" si="11"/>
        <v>0</v>
      </c>
      <c r="H105" s="3"/>
      <c r="I105" s="4">
        <f t="shared" si="12"/>
        <v>0</v>
      </c>
      <c r="J105" s="4">
        <f t="shared" si="13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0"/>
        <v>0</v>
      </c>
      <c r="F106" s="4"/>
      <c r="G106" s="4">
        <f t="shared" si="11"/>
        <v>0</v>
      </c>
      <c r="H106" s="3"/>
      <c r="I106" s="4">
        <f t="shared" si="12"/>
        <v>0</v>
      </c>
      <c r="J106" s="4">
        <f t="shared" si="13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0"/>
        <v>0</v>
      </c>
      <c r="F107" s="4"/>
      <c r="G107" s="4">
        <f t="shared" si="11"/>
        <v>0</v>
      </c>
      <c r="H107" s="3"/>
      <c r="I107" s="4">
        <f t="shared" si="12"/>
        <v>0</v>
      </c>
      <c r="J107" s="4">
        <f t="shared" si="13"/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0"/>
        <v>0</v>
      </c>
      <c r="F108" s="4">
        <v>6000</v>
      </c>
      <c r="G108" s="4">
        <f t="shared" si="11"/>
        <v>0</v>
      </c>
      <c r="H108" s="3">
        <v>2</v>
      </c>
      <c r="I108" s="4">
        <f t="shared" si="12"/>
        <v>6000</v>
      </c>
      <c r="J108" s="4">
        <f t="shared" si="13"/>
        <v>12000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0"/>
        <v>0</v>
      </c>
      <c r="F109" s="4">
        <v>8000</v>
      </c>
      <c r="G109" s="4">
        <f t="shared" si="11"/>
        <v>0</v>
      </c>
      <c r="H109" s="3">
        <v>1.5</v>
      </c>
      <c r="I109" s="4">
        <f t="shared" si="12"/>
        <v>8000</v>
      </c>
      <c r="J109" s="4">
        <f t="shared" si="13"/>
        <v>12000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0"/>
        <v>0</v>
      </c>
      <c r="F110" s="4"/>
      <c r="G110" s="4">
        <f t="shared" si="11"/>
        <v>0</v>
      </c>
      <c r="H110" s="3">
        <v>4</v>
      </c>
      <c r="I110" s="4">
        <f t="shared" si="12"/>
        <v>0</v>
      </c>
      <c r="J110" s="4">
        <f t="shared" si="13"/>
        <v>0</v>
      </c>
    </row>
    <row r="111" spans="1:10" x14ac:dyDescent="0.25">
      <c r="A111" s="3">
        <v>23</v>
      </c>
      <c r="B111" t="s">
        <v>106</v>
      </c>
      <c r="C111" s="3">
        <v>1</v>
      </c>
      <c r="D111" s="3"/>
      <c r="E111" s="3">
        <f t="shared" si="10"/>
        <v>1</v>
      </c>
      <c r="F111" s="4">
        <v>4000</v>
      </c>
      <c r="G111" s="4">
        <f t="shared" si="11"/>
        <v>4000</v>
      </c>
      <c r="H111" s="3">
        <v>1</v>
      </c>
      <c r="I111" s="4">
        <f t="shared" si="12"/>
        <v>4000</v>
      </c>
      <c r="J111" s="4">
        <f t="shared" si="13"/>
        <v>4000</v>
      </c>
    </row>
    <row r="112" spans="1:10" x14ac:dyDescent="0.25">
      <c r="A112" s="3">
        <v>24</v>
      </c>
      <c r="B112" t="s">
        <v>107</v>
      </c>
      <c r="C112" s="3">
        <v>1</v>
      </c>
      <c r="D112" s="3"/>
      <c r="E112" s="3">
        <f t="shared" si="10"/>
        <v>1</v>
      </c>
      <c r="F112" s="4">
        <v>24000</v>
      </c>
      <c r="G112" s="4">
        <f t="shared" si="11"/>
        <v>24000</v>
      </c>
      <c r="H112" s="3">
        <v>1</v>
      </c>
      <c r="I112" s="4">
        <f t="shared" si="12"/>
        <v>24000</v>
      </c>
      <c r="J112" s="4">
        <f t="shared" si="13"/>
        <v>24000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0"/>
        <v>0</v>
      </c>
      <c r="F113" s="4">
        <v>6000</v>
      </c>
      <c r="G113" s="4">
        <f t="shared" si="11"/>
        <v>0</v>
      </c>
      <c r="H113" s="3"/>
      <c r="I113" s="4">
        <f t="shared" si="12"/>
        <v>6000</v>
      </c>
      <c r="J113" s="4">
        <f t="shared" si="13"/>
        <v>0</v>
      </c>
    </row>
    <row r="114" spans="1:10" x14ac:dyDescent="0.25">
      <c r="A114" s="3">
        <v>26</v>
      </c>
      <c r="C114" s="3"/>
      <c r="D114" s="3"/>
      <c r="E114" s="3">
        <f t="shared" si="10"/>
        <v>0</v>
      </c>
      <c r="F114" s="4"/>
      <c r="G114" s="4">
        <f t="shared" si="11"/>
        <v>0</v>
      </c>
      <c r="H114" s="3"/>
      <c r="I114" s="4">
        <f t="shared" si="12"/>
        <v>0</v>
      </c>
      <c r="J114" s="4">
        <f t="shared" si="13"/>
        <v>0</v>
      </c>
    </row>
    <row r="115" spans="1:10" x14ac:dyDescent="0.25">
      <c r="A115" s="3">
        <v>27</v>
      </c>
      <c r="C115" s="3"/>
      <c r="D115" s="3"/>
      <c r="E115" s="3">
        <f t="shared" si="10"/>
        <v>0</v>
      </c>
      <c r="F115" s="4"/>
      <c r="G115" s="4">
        <f t="shared" si="11"/>
        <v>0</v>
      </c>
      <c r="H115" s="3"/>
      <c r="I115" s="4">
        <f t="shared" si="12"/>
        <v>0</v>
      </c>
      <c r="J115" s="4">
        <f t="shared" si="13"/>
        <v>0</v>
      </c>
    </row>
    <row r="116" spans="1:10" x14ac:dyDescent="0.25">
      <c r="A116" s="3">
        <v>28</v>
      </c>
      <c r="C116" s="3"/>
      <c r="D116" s="3"/>
      <c r="E116" s="3">
        <f t="shared" si="10"/>
        <v>0</v>
      </c>
      <c r="F116" s="4"/>
      <c r="G116" s="4">
        <f t="shared" si="11"/>
        <v>0</v>
      </c>
      <c r="H116" s="3"/>
      <c r="I116" s="4">
        <f t="shared" si="12"/>
        <v>0</v>
      </c>
      <c r="J116" s="4">
        <f t="shared" si="13"/>
        <v>0</v>
      </c>
    </row>
    <row r="117" spans="1:10" x14ac:dyDescent="0.25">
      <c r="A117" s="3">
        <v>29</v>
      </c>
      <c r="C117" s="3"/>
      <c r="D117" s="3"/>
      <c r="E117" s="3">
        <f t="shared" si="10"/>
        <v>0</v>
      </c>
      <c r="F117" s="4"/>
      <c r="G117" s="4">
        <f t="shared" si="11"/>
        <v>0</v>
      </c>
      <c r="H117" s="3"/>
      <c r="I117" s="4">
        <f t="shared" si="12"/>
        <v>0</v>
      </c>
      <c r="J117" s="4">
        <f t="shared" si="13"/>
        <v>0</v>
      </c>
    </row>
    <row r="118" spans="1:10" x14ac:dyDescent="0.25">
      <c r="A118" s="3">
        <v>30</v>
      </c>
      <c r="C118" s="3"/>
      <c r="D118" s="3"/>
      <c r="E118" s="3">
        <f t="shared" si="10"/>
        <v>0</v>
      </c>
      <c r="F118" s="4"/>
      <c r="G118" s="4">
        <f t="shared" si="11"/>
        <v>0</v>
      </c>
      <c r="H118" s="3"/>
      <c r="I118" s="4">
        <f t="shared" si="12"/>
        <v>0</v>
      </c>
      <c r="J118" s="4">
        <f t="shared" si="13"/>
        <v>0</v>
      </c>
    </row>
    <row r="119" spans="1:10" x14ac:dyDescent="0.25">
      <c r="A119" s="3">
        <v>31</v>
      </c>
      <c r="C119" s="3"/>
      <c r="D119" s="3"/>
      <c r="E119" s="3">
        <f t="shared" si="10"/>
        <v>0</v>
      </c>
      <c r="F119" s="4"/>
      <c r="G119" s="4">
        <f t="shared" si="11"/>
        <v>0</v>
      </c>
      <c r="H119" s="3"/>
      <c r="I119" s="4">
        <f t="shared" si="12"/>
        <v>0</v>
      </c>
      <c r="J119" s="4">
        <f t="shared" si="13"/>
        <v>0</v>
      </c>
    </row>
    <row r="120" spans="1:10" x14ac:dyDescent="0.25">
      <c r="A120" s="3">
        <v>32</v>
      </c>
      <c r="C120" s="3"/>
      <c r="D120" s="3"/>
      <c r="E120" s="3">
        <f t="shared" si="10"/>
        <v>0</v>
      </c>
      <c r="F120" s="4"/>
      <c r="G120" s="4">
        <f t="shared" si="11"/>
        <v>0</v>
      </c>
      <c r="H120" s="3"/>
      <c r="I120" s="4">
        <f t="shared" si="12"/>
        <v>0</v>
      </c>
      <c r="J120" s="4">
        <f t="shared" si="13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300600</v>
      </c>
      <c r="H121" s="5"/>
      <c r="I121" s="5"/>
      <c r="J121" s="5">
        <f t="shared" ref="J121" si="14">SUM(J89:J120)</f>
        <v>371500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1012500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9731-F435-4145-B310-57E6C5150400}">
  <dimension ref="A1:J268"/>
  <sheetViews>
    <sheetView topLeftCell="A67" workbookViewId="0">
      <selection activeCell="A67" sqref="A1:XFD104857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>
        <v>0.25</v>
      </c>
      <c r="D3" s="3">
        <v>0.5</v>
      </c>
      <c r="E3" s="3">
        <f t="shared" ref="E3:E23" si="0">C3+D3</f>
        <v>0.75</v>
      </c>
      <c r="F3" s="4">
        <v>36000</v>
      </c>
      <c r="G3" s="4">
        <f>F3*E3</f>
        <v>27000</v>
      </c>
      <c r="H3" s="3">
        <v>0.5</v>
      </c>
      <c r="I3" s="4">
        <f>F3</f>
        <v>36000</v>
      </c>
      <c r="J3" s="4">
        <f>I3*H3</f>
        <v>18000</v>
      </c>
    </row>
    <row r="4" spans="1:10" x14ac:dyDescent="0.25">
      <c r="A4" s="3">
        <v>2</v>
      </c>
      <c r="B4" t="s">
        <v>10</v>
      </c>
      <c r="C4" s="3"/>
      <c r="D4" s="3">
        <v>0.5</v>
      </c>
      <c r="E4" s="3">
        <f t="shared" si="0"/>
        <v>0.5</v>
      </c>
      <c r="F4" s="4">
        <v>36000</v>
      </c>
      <c r="G4" s="4">
        <f t="shared" ref="G4:G73" si="1">F4*E4</f>
        <v>18000</v>
      </c>
      <c r="H4" s="3">
        <v>0.8</v>
      </c>
      <c r="I4" s="4">
        <f t="shared" ref="I4:I73" si="2">F4</f>
        <v>36000</v>
      </c>
      <c r="J4" s="4">
        <f t="shared" ref="J4:J68" si="3">I4*H4</f>
        <v>28800</v>
      </c>
    </row>
    <row r="5" spans="1:10" x14ac:dyDescent="0.25">
      <c r="A5" s="3">
        <v>3</v>
      </c>
      <c r="B5" t="s">
        <v>11</v>
      </c>
      <c r="C5" s="3">
        <v>4</v>
      </c>
      <c r="D5" s="3"/>
      <c r="E5" s="3">
        <f t="shared" si="0"/>
        <v>4</v>
      </c>
      <c r="F5" s="4"/>
      <c r="G5" s="4">
        <f t="shared" si="1"/>
        <v>0</v>
      </c>
      <c r="H5" s="3">
        <v>2</v>
      </c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>
        <v>60000</v>
      </c>
      <c r="G6" s="4">
        <f t="shared" si="1"/>
        <v>0</v>
      </c>
      <c r="H6" s="3"/>
      <c r="I6" s="4">
        <f t="shared" si="2"/>
        <v>60000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>
        <v>0.25</v>
      </c>
      <c r="D7" s="3">
        <v>0.5</v>
      </c>
      <c r="E7" s="3">
        <f t="shared" si="0"/>
        <v>0.75</v>
      </c>
      <c r="F7" s="4">
        <v>40000</v>
      </c>
      <c r="G7" s="4">
        <f t="shared" si="1"/>
        <v>30000</v>
      </c>
      <c r="H7" s="3">
        <v>0.5</v>
      </c>
      <c r="I7" s="4">
        <f t="shared" si="2"/>
        <v>40000</v>
      </c>
      <c r="J7" s="4">
        <f t="shared" si="3"/>
        <v>20000</v>
      </c>
    </row>
    <row r="8" spans="1:10" x14ac:dyDescent="0.25">
      <c r="A8" s="3">
        <v>6</v>
      </c>
      <c r="B8" t="s">
        <v>14</v>
      </c>
      <c r="C8" s="3"/>
      <c r="D8" s="3"/>
      <c r="E8" s="3">
        <f t="shared" si="0"/>
        <v>0</v>
      </c>
      <c r="F8" s="4">
        <v>50000</v>
      </c>
      <c r="G8" s="4">
        <f t="shared" si="1"/>
        <v>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>
        <v>0.7</v>
      </c>
      <c r="D9" s="3">
        <v>0.89</v>
      </c>
      <c r="E9" s="3">
        <f t="shared" si="0"/>
        <v>1.5899999999999999</v>
      </c>
      <c r="F9" s="4">
        <v>13000</v>
      </c>
      <c r="G9" s="4">
        <f t="shared" si="1"/>
        <v>20669.999999999996</v>
      </c>
      <c r="H9" s="3">
        <v>1</v>
      </c>
      <c r="I9" s="4">
        <f t="shared" si="2"/>
        <v>13000</v>
      </c>
      <c r="J9" s="4">
        <f t="shared" si="3"/>
        <v>13000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1.25</v>
      </c>
      <c r="D19" s="3">
        <v>1</v>
      </c>
      <c r="E19" s="3">
        <f t="shared" si="0"/>
        <v>2.25</v>
      </c>
      <c r="F19" s="4">
        <v>20000</v>
      </c>
      <c r="G19" s="4">
        <f t="shared" si="1"/>
        <v>45000</v>
      </c>
      <c r="H19" s="3">
        <v>1.2</v>
      </c>
      <c r="I19" s="4">
        <f t="shared" si="2"/>
        <v>20000</v>
      </c>
      <c r="J19" s="4">
        <f t="shared" si="3"/>
        <v>24000</v>
      </c>
    </row>
    <row r="20" spans="1:10" x14ac:dyDescent="0.25">
      <c r="A20" s="3">
        <v>18</v>
      </c>
      <c r="B20" t="s">
        <v>25</v>
      </c>
      <c r="C20" s="3"/>
      <c r="D20" s="3">
        <v>3</v>
      </c>
      <c r="E20" s="3">
        <f t="shared" si="0"/>
        <v>3</v>
      </c>
      <c r="F20" s="4">
        <v>11000</v>
      </c>
      <c r="G20" s="4">
        <f t="shared" si="1"/>
        <v>33000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/>
      <c r="D23" s="3">
        <v>3</v>
      </c>
      <c r="E23" s="3">
        <f t="shared" si="0"/>
        <v>3</v>
      </c>
      <c r="F23" s="4">
        <v>8000</v>
      </c>
      <c r="G23" s="4">
        <f>F23*E23</f>
        <v>24000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ref="E24:E83" si="4">C24+D24</f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4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>
        <v>1</v>
      </c>
      <c r="E26" s="3">
        <f t="shared" si="4"/>
        <v>1</v>
      </c>
      <c r="F26" s="4">
        <v>11500</v>
      </c>
      <c r="G26" s="4">
        <f t="shared" si="1"/>
        <v>11500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/>
      <c r="D27" s="3">
        <v>1.25</v>
      </c>
      <c r="E27" s="3">
        <f t="shared" si="4"/>
        <v>1.25</v>
      </c>
      <c r="F27" s="4">
        <v>8500</v>
      </c>
      <c r="G27" s="4">
        <f t="shared" si="1"/>
        <v>10625</v>
      </c>
      <c r="H27" s="3">
        <v>0.8</v>
      </c>
      <c r="I27" s="4">
        <f t="shared" si="2"/>
        <v>8500</v>
      </c>
      <c r="J27" s="4">
        <f t="shared" si="3"/>
        <v>6800</v>
      </c>
    </row>
    <row r="28" spans="1:10" x14ac:dyDescent="0.25">
      <c r="A28" s="3">
        <v>26</v>
      </c>
      <c r="B28" t="s">
        <v>33</v>
      </c>
      <c r="C28" s="3">
        <v>1</v>
      </c>
      <c r="D28" s="3">
        <v>1</v>
      </c>
      <c r="E28" s="3">
        <f t="shared" si="4"/>
        <v>2</v>
      </c>
      <c r="F28" s="4">
        <v>3750</v>
      </c>
      <c r="G28" s="4">
        <f t="shared" si="1"/>
        <v>7500</v>
      </c>
      <c r="H28" s="3">
        <v>1.5</v>
      </c>
      <c r="I28" s="4">
        <f t="shared" si="2"/>
        <v>3750</v>
      </c>
      <c r="J28" s="4">
        <f t="shared" si="3"/>
        <v>5625</v>
      </c>
    </row>
    <row r="29" spans="1:10" x14ac:dyDescent="0.25">
      <c r="A29" s="3">
        <v>27</v>
      </c>
      <c r="B29" t="s">
        <v>34</v>
      </c>
      <c r="C29" s="3"/>
      <c r="D29" s="3">
        <v>0.5</v>
      </c>
      <c r="E29" s="3">
        <f t="shared" si="4"/>
        <v>0.5</v>
      </c>
      <c r="F29" s="4">
        <v>24000</v>
      </c>
      <c r="G29" s="4">
        <f t="shared" si="1"/>
        <v>12000</v>
      </c>
      <c r="H29" s="3">
        <v>0.67</v>
      </c>
      <c r="I29" s="4">
        <f t="shared" si="2"/>
        <v>24000</v>
      </c>
      <c r="J29" s="4">
        <f t="shared" si="3"/>
        <v>16080.000000000002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4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4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4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4"/>
        <v>0.5</v>
      </c>
      <c r="F33" s="4">
        <v>56000</v>
      </c>
      <c r="G33" s="4">
        <f t="shared" si="1"/>
        <v>28000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>
        <v>4</v>
      </c>
      <c r="D34" s="3">
        <v>4</v>
      </c>
      <c r="E34" s="3">
        <f t="shared" si="4"/>
        <v>8</v>
      </c>
      <c r="F34" s="4">
        <v>17500</v>
      </c>
      <c r="G34" s="4">
        <f t="shared" si="1"/>
        <v>140000</v>
      </c>
      <c r="H34" s="3">
        <v>4</v>
      </c>
      <c r="I34" s="4">
        <f t="shared" si="2"/>
        <v>17500</v>
      </c>
      <c r="J34" s="4">
        <f t="shared" si="3"/>
        <v>70000</v>
      </c>
    </row>
    <row r="35" spans="1:10" x14ac:dyDescent="0.25">
      <c r="A35" s="3">
        <v>33</v>
      </c>
      <c r="B35" t="s">
        <v>40</v>
      </c>
      <c r="C35" s="3">
        <v>2</v>
      </c>
      <c r="D35" s="3">
        <v>1</v>
      </c>
      <c r="E35" s="3">
        <f t="shared" si="4"/>
        <v>3</v>
      </c>
      <c r="F35" s="4">
        <v>3000</v>
      </c>
      <c r="G35" s="4">
        <f t="shared" si="1"/>
        <v>9000</v>
      </c>
      <c r="H35" s="3">
        <v>2.5</v>
      </c>
      <c r="I35" s="4">
        <f t="shared" si="2"/>
        <v>3000</v>
      </c>
      <c r="J35" s="4">
        <f t="shared" si="3"/>
        <v>7500</v>
      </c>
    </row>
    <row r="36" spans="1:10" x14ac:dyDescent="0.25">
      <c r="A36" s="3">
        <v>34</v>
      </c>
      <c r="B36" t="s">
        <v>41</v>
      </c>
      <c r="C36" s="3">
        <v>2</v>
      </c>
      <c r="D36" s="3">
        <v>1</v>
      </c>
      <c r="E36" s="3">
        <f t="shared" si="4"/>
        <v>3</v>
      </c>
      <c r="F36" s="4">
        <v>11000</v>
      </c>
      <c r="G36" s="4">
        <f t="shared" si="1"/>
        <v>33000</v>
      </c>
      <c r="H36" s="3">
        <v>2.5</v>
      </c>
      <c r="I36" s="4">
        <f t="shared" si="2"/>
        <v>11000</v>
      </c>
      <c r="J36" s="4">
        <f t="shared" si="3"/>
        <v>27500</v>
      </c>
    </row>
    <row r="37" spans="1:10" x14ac:dyDescent="0.25">
      <c r="A37" s="3">
        <v>35</v>
      </c>
      <c r="B37" t="s">
        <v>42</v>
      </c>
      <c r="C37" s="3">
        <v>24</v>
      </c>
      <c r="D37" s="3"/>
      <c r="E37" s="3">
        <f t="shared" si="4"/>
        <v>24</v>
      </c>
      <c r="F37" s="4">
        <v>600</v>
      </c>
      <c r="G37" s="4">
        <f t="shared" si="1"/>
        <v>14400</v>
      </c>
      <c r="H37" s="3">
        <v>3</v>
      </c>
      <c r="I37" s="4">
        <f t="shared" si="2"/>
        <v>600</v>
      </c>
      <c r="J37" s="4">
        <f t="shared" si="3"/>
        <v>1800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4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4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4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3</v>
      </c>
      <c r="E41" s="3">
        <f t="shared" si="4"/>
        <v>4</v>
      </c>
      <c r="F41" s="4">
        <v>83000</v>
      </c>
      <c r="G41" s="4">
        <f t="shared" si="1"/>
        <v>332000</v>
      </c>
      <c r="H41" s="3">
        <v>2</v>
      </c>
      <c r="I41" s="4">
        <f t="shared" si="2"/>
        <v>83000</v>
      </c>
      <c r="J41" s="4">
        <f t="shared" si="3"/>
        <v>166000</v>
      </c>
    </row>
    <row r="42" spans="1:10" x14ac:dyDescent="0.25">
      <c r="A42" s="3">
        <v>40</v>
      </c>
      <c r="B42" t="s">
        <v>47</v>
      </c>
      <c r="C42" s="3"/>
      <c r="D42" s="3"/>
      <c r="E42" s="3">
        <f t="shared" si="4"/>
        <v>0</v>
      </c>
      <c r="F42" s="4">
        <v>21000</v>
      </c>
      <c r="G42" s="4">
        <f t="shared" si="1"/>
        <v>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/>
      <c r="D43" s="3"/>
      <c r="E43" s="3">
        <f t="shared" si="4"/>
        <v>0</v>
      </c>
      <c r="F43" s="4">
        <v>25000</v>
      </c>
      <c r="G43" s="4">
        <f t="shared" si="1"/>
        <v>0</v>
      </c>
      <c r="H43" s="3"/>
      <c r="I43" s="4">
        <f t="shared" si="2"/>
        <v>25000</v>
      </c>
      <c r="J43" s="4">
        <f t="shared" si="3"/>
        <v>0</v>
      </c>
    </row>
    <row r="44" spans="1:10" x14ac:dyDescent="0.25">
      <c r="A44" s="3">
        <v>42</v>
      </c>
      <c r="B44" t="s">
        <v>49</v>
      </c>
      <c r="C44" s="3">
        <v>1</v>
      </c>
      <c r="D44" s="3">
        <v>2</v>
      </c>
      <c r="E44" s="3">
        <f t="shared" si="4"/>
        <v>3</v>
      </c>
      <c r="F44" s="4">
        <v>5500</v>
      </c>
      <c r="G44" s="4">
        <f t="shared" si="1"/>
        <v>16500</v>
      </c>
      <c r="H44" s="3">
        <v>1</v>
      </c>
      <c r="I44" s="4">
        <f t="shared" si="2"/>
        <v>5500</v>
      </c>
      <c r="J44" s="4">
        <f t="shared" si="3"/>
        <v>5500</v>
      </c>
    </row>
    <row r="45" spans="1:10" x14ac:dyDescent="0.25">
      <c r="A45" s="3">
        <v>43</v>
      </c>
      <c r="B45" t="s">
        <v>50</v>
      </c>
      <c r="C45" s="3"/>
      <c r="D45" s="3">
        <v>5</v>
      </c>
      <c r="E45" s="3">
        <f t="shared" si="4"/>
        <v>5</v>
      </c>
      <c r="F45" s="4">
        <v>15500</v>
      </c>
      <c r="G45" s="4">
        <f t="shared" si="1"/>
        <v>77500</v>
      </c>
      <c r="H45" s="3">
        <v>3</v>
      </c>
      <c r="I45" s="4">
        <f t="shared" si="2"/>
        <v>15500</v>
      </c>
      <c r="J45" s="4">
        <f t="shared" si="3"/>
        <v>46500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4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>
        <v>1</v>
      </c>
      <c r="D47" s="3"/>
      <c r="E47" s="3">
        <f t="shared" si="4"/>
        <v>1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>
        <v>1.5</v>
      </c>
      <c r="E48" s="3">
        <f t="shared" si="4"/>
        <v>1.5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12</v>
      </c>
      <c r="D49" s="3"/>
      <c r="E49" s="3">
        <f t="shared" si="4"/>
        <v>12</v>
      </c>
      <c r="F49" s="4">
        <v>6000</v>
      </c>
      <c r="G49" s="4">
        <f t="shared" si="1"/>
        <v>72000</v>
      </c>
      <c r="H49" s="3">
        <v>6</v>
      </c>
      <c r="I49" s="4">
        <f t="shared" si="2"/>
        <v>6000</v>
      </c>
      <c r="J49" s="4">
        <f t="shared" si="3"/>
        <v>36000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4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</v>
      </c>
      <c r="D51" s="3">
        <v>3</v>
      </c>
      <c r="E51" s="3">
        <f t="shared" si="4"/>
        <v>4</v>
      </c>
      <c r="F51" s="4">
        <v>12000</v>
      </c>
      <c r="G51" s="4">
        <f>F51*E51</f>
        <v>48000</v>
      </c>
      <c r="H51" s="3">
        <v>3</v>
      </c>
      <c r="I51" s="4">
        <f t="shared" si="2"/>
        <v>12000</v>
      </c>
      <c r="J51" s="4">
        <f t="shared" si="3"/>
        <v>36000</v>
      </c>
    </row>
    <row r="52" spans="1:10" x14ac:dyDescent="0.25">
      <c r="A52" s="3">
        <v>50</v>
      </c>
      <c r="B52" t="s">
        <v>57</v>
      </c>
      <c r="C52" s="3">
        <v>1.5</v>
      </c>
      <c r="D52" s="3">
        <v>0.5</v>
      </c>
      <c r="E52" s="3">
        <f t="shared" si="4"/>
        <v>2</v>
      </c>
      <c r="F52" s="4">
        <v>9000</v>
      </c>
      <c r="G52" s="4">
        <f t="shared" si="1"/>
        <v>18000</v>
      </c>
      <c r="H52" s="3">
        <v>0.5</v>
      </c>
      <c r="I52" s="4">
        <f t="shared" si="2"/>
        <v>9000</v>
      </c>
      <c r="J52" s="4">
        <f t="shared" si="3"/>
        <v>4500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4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>
        <v>5</v>
      </c>
      <c r="E54" s="3">
        <f t="shared" si="4"/>
        <v>5</v>
      </c>
      <c r="F54" s="4">
        <v>6000</v>
      </c>
      <c r="G54" s="4">
        <f t="shared" si="1"/>
        <v>30000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4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4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4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4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2</v>
      </c>
      <c r="D59" s="3"/>
      <c r="E59" s="3">
        <f t="shared" si="4"/>
        <v>2</v>
      </c>
      <c r="F59" s="4">
        <v>20000</v>
      </c>
      <c r="G59" s="4">
        <f t="shared" si="1"/>
        <v>40000</v>
      </c>
      <c r="H59" s="3">
        <v>1</v>
      </c>
      <c r="I59" s="4">
        <f t="shared" si="2"/>
        <v>20000</v>
      </c>
      <c r="J59" s="4">
        <f t="shared" si="3"/>
        <v>20000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4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>
        <v>14</v>
      </c>
      <c r="E61" s="3">
        <f t="shared" si="4"/>
        <v>14</v>
      </c>
      <c r="F61" s="4">
        <v>5250</v>
      </c>
      <c r="G61" s="4">
        <f t="shared" si="1"/>
        <v>73500</v>
      </c>
      <c r="H61" s="3">
        <v>4</v>
      </c>
      <c r="I61" s="4">
        <f t="shared" si="2"/>
        <v>5250</v>
      </c>
      <c r="J61" s="4">
        <f t="shared" si="3"/>
        <v>21000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4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4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10</v>
      </c>
      <c r="D64" s="3">
        <v>16</v>
      </c>
      <c r="E64" s="3">
        <f t="shared" si="4"/>
        <v>26</v>
      </c>
      <c r="F64" s="4">
        <v>4625</v>
      </c>
      <c r="G64" s="4">
        <f t="shared" si="1"/>
        <v>120250</v>
      </c>
      <c r="H64" s="3">
        <v>12</v>
      </c>
      <c r="I64" s="4">
        <f t="shared" si="2"/>
        <v>4625</v>
      </c>
      <c r="J64" s="4">
        <f t="shared" si="3"/>
        <v>55500</v>
      </c>
    </row>
    <row r="65" spans="1:10" x14ac:dyDescent="0.25">
      <c r="A65" s="3">
        <v>63</v>
      </c>
      <c r="B65" t="s">
        <v>70</v>
      </c>
      <c r="C65" s="3">
        <v>11.25</v>
      </c>
      <c r="D65" s="3"/>
      <c r="E65" s="3">
        <f t="shared" si="4"/>
        <v>11.25</v>
      </c>
      <c r="F65" s="4">
        <v>21000</v>
      </c>
      <c r="G65" s="4">
        <f t="shared" si="1"/>
        <v>236250</v>
      </c>
      <c r="H65" s="3">
        <v>1</v>
      </c>
      <c r="I65" s="4">
        <f t="shared" si="2"/>
        <v>21000</v>
      </c>
      <c r="J65" s="4">
        <f t="shared" si="3"/>
        <v>21000</v>
      </c>
    </row>
    <row r="66" spans="1:10" x14ac:dyDescent="0.25">
      <c r="A66" s="3">
        <v>64</v>
      </c>
      <c r="B66" t="s">
        <v>115</v>
      </c>
      <c r="C66" s="3"/>
      <c r="D66" s="3"/>
      <c r="E66" s="3">
        <f t="shared" si="4"/>
        <v>0</v>
      </c>
      <c r="F66" s="4">
        <v>100000</v>
      </c>
      <c r="G66" s="4">
        <f t="shared" si="1"/>
        <v>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/>
      <c r="D67" s="3">
        <v>1</v>
      </c>
      <c r="E67" s="3">
        <f t="shared" si="4"/>
        <v>1</v>
      </c>
      <c r="F67" s="4">
        <v>17500</v>
      </c>
      <c r="G67" s="4">
        <f t="shared" si="1"/>
        <v>17500</v>
      </c>
      <c r="H67" s="3">
        <v>0.25</v>
      </c>
      <c r="I67" s="4">
        <f t="shared" si="2"/>
        <v>17500</v>
      </c>
      <c r="J67" s="4">
        <f t="shared" si="3"/>
        <v>4375</v>
      </c>
    </row>
    <row r="68" spans="1:10" x14ac:dyDescent="0.25">
      <c r="A68" s="3">
        <v>66</v>
      </c>
      <c r="B68" t="s">
        <v>72</v>
      </c>
      <c r="C68" s="3">
        <v>1</v>
      </c>
      <c r="D68" s="3">
        <v>4</v>
      </c>
      <c r="E68" s="3">
        <f t="shared" si="4"/>
        <v>5</v>
      </c>
      <c r="F68" s="4">
        <v>8000</v>
      </c>
      <c r="G68" s="4">
        <f t="shared" si="1"/>
        <v>40000</v>
      </c>
      <c r="H68" s="3">
        <v>3</v>
      </c>
      <c r="I68" s="4">
        <f t="shared" si="2"/>
        <v>8000</v>
      </c>
      <c r="J68" s="4">
        <f t="shared" si="3"/>
        <v>24000</v>
      </c>
    </row>
    <row r="69" spans="1:10" x14ac:dyDescent="0.25">
      <c r="A69" s="3">
        <v>67</v>
      </c>
      <c r="B69" t="s">
        <v>73</v>
      </c>
      <c r="C69" s="3">
        <v>0.5</v>
      </c>
      <c r="D69" s="3">
        <v>2</v>
      </c>
      <c r="E69" s="3">
        <f t="shared" si="4"/>
        <v>2.5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/>
      <c r="D70" s="3">
        <v>1</v>
      </c>
      <c r="E70" s="3">
        <f t="shared" si="4"/>
        <v>1</v>
      </c>
      <c r="F70" s="4">
        <v>24000</v>
      </c>
      <c r="G70" s="4">
        <f t="shared" si="1"/>
        <v>24000</v>
      </c>
      <c r="H70" s="3">
        <v>0.5</v>
      </c>
      <c r="I70" s="4">
        <f t="shared" si="2"/>
        <v>24000</v>
      </c>
      <c r="J70" s="4">
        <f t="shared" si="5"/>
        <v>12000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>
        <v>2</v>
      </c>
      <c r="E72" s="3">
        <f t="shared" si="4"/>
        <v>3</v>
      </c>
      <c r="F72" s="4">
        <v>15000</v>
      </c>
      <c r="G72" s="4">
        <f>F72*E72</f>
        <v>45000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/>
      <c r="D74" s="3"/>
      <c r="E74" s="3">
        <f t="shared" si="4"/>
        <v>0</v>
      </c>
      <c r="F74" s="4"/>
      <c r="G74" s="4">
        <f t="shared" ref="G74:G83" si="6">F74*E74</f>
        <v>0</v>
      </c>
      <c r="H74" s="3"/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/>
      <c r="D75" s="3"/>
      <c r="E75" s="3">
        <f t="shared" si="4"/>
        <v>0</v>
      </c>
      <c r="F75" s="4"/>
      <c r="G75" s="4">
        <f t="shared" si="6"/>
        <v>0</v>
      </c>
      <c r="H75" s="3"/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/>
      <c r="D76" s="3">
        <v>16</v>
      </c>
      <c r="E76" s="3">
        <f t="shared" si="4"/>
        <v>16</v>
      </c>
      <c r="F76" s="4"/>
      <c r="G76" s="4">
        <f t="shared" si="6"/>
        <v>0</v>
      </c>
      <c r="H76" s="3">
        <v>16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1654195</v>
      </c>
      <c r="H85" s="5"/>
      <c r="I85" s="5"/>
      <c r="J85" s="5">
        <f t="shared" ref="J85" si="8">SUM(J3:J84)</f>
        <v>749480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/>
      <c r="D89" s="3">
        <v>50</v>
      </c>
      <c r="E89" s="3">
        <f>C89+D89</f>
        <v>50</v>
      </c>
      <c r="F89" s="4">
        <v>1240</v>
      </c>
      <c r="G89" s="4">
        <f>F89*E89</f>
        <v>62000</v>
      </c>
      <c r="H89" s="3">
        <v>50</v>
      </c>
      <c r="I89" s="4">
        <f>F89</f>
        <v>1240</v>
      </c>
      <c r="J89" s="4">
        <f>I89*H89</f>
        <v>62000</v>
      </c>
    </row>
    <row r="90" spans="1:10" x14ac:dyDescent="0.25">
      <c r="A90" s="3">
        <v>2</v>
      </c>
      <c r="B90" t="s">
        <v>85</v>
      </c>
      <c r="C90" s="3">
        <v>17</v>
      </c>
      <c r="D90" s="3">
        <v>10</v>
      </c>
      <c r="E90" s="3">
        <f t="shared" ref="E90:E120" si="9">C90+D90</f>
        <v>27</v>
      </c>
      <c r="F90" s="4">
        <v>1000</v>
      </c>
      <c r="G90" s="4">
        <f t="shared" ref="G90:G120" si="10">F90*E90</f>
        <v>27000</v>
      </c>
      <c r="H90" s="3">
        <v>17</v>
      </c>
      <c r="I90" s="4">
        <f t="shared" ref="I90:I120" si="11">F90</f>
        <v>1000</v>
      </c>
      <c r="J90" s="4">
        <f t="shared" ref="J90:J120" si="12">I90*H90</f>
        <v>17000</v>
      </c>
    </row>
    <row r="91" spans="1:10" x14ac:dyDescent="0.25">
      <c r="A91" s="3">
        <v>3</v>
      </c>
      <c r="B91" t="s">
        <v>86</v>
      </c>
      <c r="C91" s="3">
        <v>6</v>
      </c>
      <c r="D91" s="3">
        <v>10</v>
      </c>
      <c r="E91" s="3">
        <f t="shared" si="9"/>
        <v>16</v>
      </c>
      <c r="F91" s="4">
        <v>1650</v>
      </c>
      <c r="G91" s="4">
        <f t="shared" si="10"/>
        <v>26400</v>
      </c>
      <c r="H91" s="3">
        <v>7</v>
      </c>
      <c r="I91" s="4">
        <f t="shared" si="11"/>
        <v>1650</v>
      </c>
      <c r="J91" s="4">
        <f t="shared" si="12"/>
        <v>11550</v>
      </c>
    </row>
    <row r="92" spans="1:10" x14ac:dyDescent="0.25">
      <c r="A92" s="3">
        <v>4</v>
      </c>
      <c r="B92" t="s">
        <v>87</v>
      </c>
      <c r="C92" s="3">
        <v>15</v>
      </c>
      <c r="D92" s="3"/>
      <c r="E92" s="3">
        <f t="shared" si="9"/>
        <v>15</v>
      </c>
      <c r="F92" s="4">
        <v>1650</v>
      </c>
      <c r="G92" s="4">
        <f t="shared" si="10"/>
        <v>24750</v>
      </c>
      <c r="H92" s="3">
        <v>5</v>
      </c>
      <c r="I92" s="4">
        <f t="shared" si="11"/>
        <v>1650</v>
      </c>
      <c r="J92" s="4">
        <f t="shared" si="12"/>
        <v>8250</v>
      </c>
    </row>
    <row r="93" spans="1:10" x14ac:dyDescent="0.25">
      <c r="A93" s="3">
        <v>5</v>
      </c>
      <c r="B93" t="s">
        <v>88</v>
      </c>
      <c r="C93" s="3">
        <v>11</v>
      </c>
      <c r="D93" s="3"/>
      <c r="E93" s="3">
        <f t="shared" si="9"/>
        <v>11</v>
      </c>
      <c r="F93" s="4">
        <v>1750</v>
      </c>
      <c r="G93" s="4">
        <f t="shared" si="10"/>
        <v>19250</v>
      </c>
      <c r="H93" s="3">
        <v>10</v>
      </c>
      <c r="I93" s="4">
        <f t="shared" si="11"/>
        <v>1750</v>
      </c>
      <c r="J93" s="4">
        <f t="shared" si="12"/>
        <v>17500</v>
      </c>
    </row>
    <row r="94" spans="1:10" x14ac:dyDescent="0.25">
      <c r="A94" s="3">
        <v>6</v>
      </c>
      <c r="B94" t="s">
        <v>89</v>
      </c>
      <c r="C94" s="3">
        <v>3</v>
      </c>
      <c r="D94" s="3">
        <v>12</v>
      </c>
      <c r="E94" s="3">
        <f t="shared" si="9"/>
        <v>15</v>
      </c>
      <c r="F94" s="4">
        <v>1500</v>
      </c>
      <c r="G94" s="4">
        <f t="shared" si="10"/>
        <v>22500</v>
      </c>
      <c r="H94" s="3">
        <v>7</v>
      </c>
      <c r="I94" s="4">
        <f t="shared" si="11"/>
        <v>1500</v>
      </c>
      <c r="J94" s="4">
        <f t="shared" si="12"/>
        <v>10500</v>
      </c>
    </row>
    <row r="95" spans="1:10" x14ac:dyDescent="0.25">
      <c r="A95" s="3">
        <v>7</v>
      </c>
      <c r="B95" t="s">
        <v>90</v>
      </c>
      <c r="C95" s="3">
        <v>2</v>
      </c>
      <c r="D95" s="3">
        <v>6</v>
      </c>
      <c r="E95" s="3">
        <f t="shared" si="9"/>
        <v>8</v>
      </c>
      <c r="F95" s="4">
        <v>1500</v>
      </c>
      <c r="G95" s="4">
        <f t="shared" si="10"/>
        <v>12000</v>
      </c>
      <c r="H95" s="3">
        <v>6</v>
      </c>
      <c r="I95" s="4">
        <f t="shared" si="11"/>
        <v>1500</v>
      </c>
      <c r="J95" s="4">
        <f t="shared" si="12"/>
        <v>9000</v>
      </c>
    </row>
    <row r="96" spans="1:10" x14ac:dyDescent="0.25">
      <c r="A96" s="3">
        <v>8</v>
      </c>
      <c r="B96" t="s">
        <v>91</v>
      </c>
      <c r="C96" s="3">
        <v>14</v>
      </c>
      <c r="D96" s="3"/>
      <c r="E96" s="3">
        <f t="shared" si="9"/>
        <v>14</v>
      </c>
      <c r="F96" s="4">
        <v>3350</v>
      </c>
      <c r="G96" s="4">
        <f t="shared" si="10"/>
        <v>46900</v>
      </c>
      <c r="H96" s="3">
        <v>12</v>
      </c>
      <c r="I96" s="4">
        <f t="shared" si="11"/>
        <v>3350</v>
      </c>
      <c r="J96" s="4">
        <f t="shared" si="12"/>
        <v>40200</v>
      </c>
    </row>
    <row r="97" spans="1:10" x14ac:dyDescent="0.25">
      <c r="A97" s="3">
        <v>9</v>
      </c>
      <c r="B97" t="s">
        <v>92</v>
      </c>
      <c r="C97" s="3">
        <v>2</v>
      </c>
      <c r="D97" s="3"/>
      <c r="E97" s="3">
        <f t="shared" si="9"/>
        <v>2</v>
      </c>
      <c r="F97" s="4">
        <v>23000</v>
      </c>
      <c r="G97" s="4">
        <f t="shared" si="10"/>
        <v>46000</v>
      </c>
      <c r="H97" s="3">
        <v>1.25</v>
      </c>
      <c r="I97" s="4">
        <f t="shared" si="11"/>
        <v>23000</v>
      </c>
      <c r="J97" s="4">
        <f t="shared" si="12"/>
        <v>28750</v>
      </c>
    </row>
    <row r="98" spans="1:10" x14ac:dyDescent="0.25">
      <c r="A98" s="3">
        <v>10</v>
      </c>
      <c r="B98" t="s">
        <v>93</v>
      </c>
      <c r="C98" s="3">
        <v>11</v>
      </c>
      <c r="D98" s="3"/>
      <c r="E98" s="3">
        <f t="shared" si="9"/>
        <v>11</v>
      </c>
      <c r="F98" s="4">
        <v>9000</v>
      </c>
      <c r="G98" s="4">
        <f t="shared" si="10"/>
        <v>99000</v>
      </c>
      <c r="H98" s="3">
        <v>8</v>
      </c>
      <c r="I98" s="4">
        <f t="shared" si="11"/>
        <v>9000</v>
      </c>
      <c r="J98" s="4">
        <f t="shared" si="12"/>
        <v>72000</v>
      </c>
    </row>
    <row r="99" spans="1:10" x14ac:dyDescent="0.25">
      <c r="A99" s="3">
        <v>11</v>
      </c>
      <c r="B99" t="s">
        <v>94</v>
      </c>
      <c r="C99" s="3">
        <v>0.5</v>
      </c>
      <c r="D99" s="3"/>
      <c r="E99" s="3">
        <f t="shared" si="9"/>
        <v>0.5</v>
      </c>
      <c r="F99" s="4">
        <v>6000</v>
      </c>
      <c r="G99" s="4">
        <f t="shared" si="10"/>
        <v>3000</v>
      </c>
      <c r="H99" s="3">
        <v>0.25</v>
      </c>
      <c r="I99" s="4">
        <f t="shared" si="11"/>
        <v>6000</v>
      </c>
      <c r="J99" s="4">
        <f t="shared" si="12"/>
        <v>1500</v>
      </c>
    </row>
    <row r="100" spans="1:10" x14ac:dyDescent="0.25">
      <c r="A100" s="3">
        <v>12</v>
      </c>
      <c r="B100" t="s">
        <v>95</v>
      </c>
      <c r="C100" s="3"/>
      <c r="D100" s="3">
        <v>5</v>
      </c>
      <c r="E100" s="3">
        <f t="shared" si="9"/>
        <v>5</v>
      </c>
      <c r="F100" s="4">
        <v>8000</v>
      </c>
      <c r="G100" s="4">
        <f t="shared" si="10"/>
        <v>40000</v>
      </c>
      <c r="H100" s="3"/>
      <c r="I100" s="4">
        <f t="shared" si="11"/>
        <v>8000</v>
      </c>
      <c r="J100" s="4">
        <f t="shared" si="12"/>
        <v>0</v>
      </c>
    </row>
    <row r="101" spans="1:10" x14ac:dyDescent="0.25">
      <c r="A101" s="3">
        <v>13</v>
      </c>
      <c r="B101" t="s">
        <v>96</v>
      </c>
      <c r="C101" s="3">
        <v>14</v>
      </c>
      <c r="D101" s="3"/>
      <c r="E101" s="3">
        <f t="shared" si="9"/>
        <v>14</v>
      </c>
      <c r="F101" s="4">
        <v>3300</v>
      </c>
      <c r="G101" s="4">
        <f t="shared" si="10"/>
        <v>46200</v>
      </c>
      <c r="H101" s="3">
        <v>12</v>
      </c>
      <c r="I101" s="4">
        <f t="shared" si="11"/>
        <v>3300</v>
      </c>
      <c r="J101" s="4">
        <f t="shared" si="12"/>
        <v>39600</v>
      </c>
    </row>
    <row r="102" spans="1:10" x14ac:dyDescent="0.25">
      <c r="A102" s="3">
        <v>14</v>
      </c>
      <c r="B102" t="s">
        <v>97</v>
      </c>
      <c r="C102" s="3">
        <v>1</v>
      </c>
      <c r="D102" s="3"/>
      <c r="E102" s="3">
        <f t="shared" si="9"/>
        <v>1</v>
      </c>
      <c r="F102" s="4"/>
      <c r="G102" s="4">
        <f t="shared" si="10"/>
        <v>0</v>
      </c>
      <c r="H102" s="3"/>
      <c r="I102" s="4">
        <f t="shared" si="11"/>
        <v>0</v>
      </c>
      <c r="J102" s="4">
        <f t="shared" si="12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9"/>
        <v>0</v>
      </c>
      <c r="F103" s="4"/>
      <c r="G103" s="4">
        <f t="shared" si="10"/>
        <v>0</v>
      </c>
      <c r="H103" s="3"/>
      <c r="I103" s="4">
        <f t="shared" si="11"/>
        <v>0</v>
      </c>
      <c r="J103" s="4">
        <f t="shared" si="12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9"/>
        <v>0</v>
      </c>
      <c r="F104" s="4"/>
      <c r="G104" s="4">
        <f t="shared" si="10"/>
        <v>0</v>
      </c>
      <c r="H104" s="3"/>
      <c r="I104" s="4">
        <f t="shared" si="11"/>
        <v>0</v>
      </c>
      <c r="J104" s="4">
        <f t="shared" si="12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9"/>
        <v>0</v>
      </c>
      <c r="F105" s="4"/>
      <c r="G105" s="4">
        <f t="shared" si="10"/>
        <v>0</v>
      </c>
      <c r="H105" s="3"/>
      <c r="I105" s="4">
        <f t="shared" si="11"/>
        <v>0</v>
      </c>
      <c r="J105" s="4">
        <f t="shared" si="12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9"/>
        <v>0</v>
      </c>
      <c r="F106" s="4"/>
      <c r="G106" s="4">
        <f t="shared" si="10"/>
        <v>0</v>
      </c>
      <c r="H106" s="3"/>
      <c r="I106" s="4">
        <f t="shared" si="11"/>
        <v>0</v>
      </c>
      <c r="J106" s="4">
        <f t="shared" si="12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9"/>
        <v>0</v>
      </c>
      <c r="F107" s="4"/>
      <c r="G107" s="4">
        <f t="shared" si="10"/>
        <v>0</v>
      </c>
      <c r="H107" s="3"/>
      <c r="I107" s="4">
        <f t="shared" si="11"/>
        <v>0</v>
      </c>
      <c r="J107" s="4">
        <f t="shared" si="12"/>
        <v>0</v>
      </c>
    </row>
    <row r="108" spans="1:10" x14ac:dyDescent="0.25">
      <c r="A108" s="3">
        <v>20</v>
      </c>
      <c r="B108" t="s">
        <v>103</v>
      </c>
      <c r="C108" s="3">
        <v>2</v>
      </c>
      <c r="D108" s="3"/>
      <c r="E108" s="3">
        <f t="shared" si="9"/>
        <v>2</v>
      </c>
      <c r="F108" s="4">
        <v>6000</v>
      </c>
      <c r="G108" s="4">
        <f t="shared" si="10"/>
        <v>12000</v>
      </c>
      <c r="H108" s="3">
        <v>2</v>
      </c>
      <c r="I108" s="4">
        <f t="shared" si="11"/>
        <v>6000</v>
      </c>
      <c r="J108" s="4">
        <f t="shared" si="12"/>
        <v>12000</v>
      </c>
    </row>
    <row r="109" spans="1:10" x14ac:dyDescent="0.25">
      <c r="A109" s="3">
        <v>21</v>
      </c>
      <c r="B109" t="s">
        <v>104</v>
      </c>
      <c r="C109" s="3">
        <v>1.5</v>
      </c>
      <c r="D109" s="3"/>
      <c r="E109" s="3">
        <f t="shared" si="9"/>
        <v>1.5</v>
      </c>
      <c r="F109" s="4">
        <v>8000</v>
      </c>
      <c r="G109" s="4">
        <f t="shared" si="10"/>
        <v>12000</v>
      </c>
      <c r="H109" s="3">
        <v>1.5</v>
      </c>
      <c r="I109" s="4">
        <f t="shared" si="11"/>
        <v>8000</v>
      </c>
      <c r="J109" s="4">
        <f t="shared" si="12"/>
        <v>12000</v>
      </c>
    </row>
    <row r="110" spans="1:10" x14ac:dyDescent="0.25">
      <c r="A110" s="3">
        <v>22</v>
      </c>
      <c r="B110" t="s">
        <v>105</v>
      </c>
      <c r="C110" s="3">
        <v>4</v>
      </c>
      <c r="D110" s="3">
        <v>2</v>
      </c>
      <c r="E110" s="3">
        <f t="shared" si="9"/>
        <v>6</v>
      </c>
      <c r="F110" s="4"/>
      <c r="G110" s="4">
        <f t="shared" si="10"/>
        <v>0</v>
      </c>
      <c r="H110" s="3"/>
      <c r="I110" s="4">
        <f t="shared" si="11"/>
        <v>0</v>
      </c>
      <c r="J110" s="4">
        <f t="shared" si="12"/>
        <v>0</v>
      </c>
    </row>
    <row r="111" spans="1:10" x14ac:dyDescent="0.25">
      <c r="A111" s="3">
        <v>23</v>
      </c>
      <c r="B111" t="s">
        <v>106</v>
      </c>
      <c r="C111" s="3">
        <v>1</v>
      </c>
      <c r="D111" s="3">
        <v>5</v>
      </c>
      <c r="E111" s="3">
        <f t="shared" si="9"/>
        <v>6</v>
      </c>
      <c r="F111" s="4">
        <v>4000</v>
      </c>
      <c r="G111" s="4">
        <f t="shared" si="10"/>
        <v>24000</v>
      </c>
      <c r="H111" s="3">
        <v>4</v>
      </c>
      <c r="I111" s="4">
        <f t="shared" si="11"/>
        <v>4000</v>
      </c>
      <c r="J111" s="4">
        <f t="shared" si="12"/>
        <v>16000</v>
      </c>
    </row>
    <row r="112" spans="1:10" x14ac:dyDescent="0.25">
      <c r="A112" s="3">
        <v>24</v>
      </c>
      <c r="B112" t="s">
        <v>107</v>
      </c>
      <c r="C112" s="3">
        <v>1</v>
      </c>
      <c r="D112" s="3">
        <v>4</v>
      </c>
      <c r="E112" s="3">
        <f t="shared" si="9"/>
        <v>5</v>
      </c>
      <c r="F112" s="4">
        <v>24000</v>
      </c>
      <c r="G112" s="4">
        <f t="shared" si="10"/>
        <v>120000</v>
      </c>
      <c r="H112" s="3">
        <v>2</v>
      </c>
      <c r="I112" s="4">
        <f t="shared" si="11"/>
        <v>24000</v>
      </c>
      <c r="J112" s="4">
        <f t="shared" si="12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9"/>
        <v>0</v>
      </c>
      <c r="F113" s="4">
        <v>6000</v>
      </c>
      <c r="G113" s="4">
        <f t="shared" si="10"/>
        <v>0</v>
      </c>
      <c r="H113" s="3"/>
      <c r="I113" s="4">
        <f t="shared" si="11"/>
        <v>6000</v>
      </c>
      <c r="J113" s="4">
        <f t="shared" si="12"/>
        <v>0</v>
      </c>
    </row>
    <row r="114" spans="1:10" x14ac:dyDescent="0.25">
      <c r="A114" s="3">
        <v>26</v>
      </c>
      <c r="C114" s="3"/>
      <c r="D114" s="3"/>
      <c r="E114" s="3">
        <f t="shared" si="9"/>
        <v>0</v>
      </c>
      <c r="F114" s="4"/>
      <c r="G114" s="4">
        <f t="shared" si="10"/>
        <v>0</v>
      </c>
      <c r="H114" s="3"/>
      <c r="I114" s="4">
        <f t="shared" si="11"/>
        <v>0</v>
      </c>
      <c r="J114" s="4">
        <f t="shared" si="12"/>
        <v>0</v>
      </c>
    </row>
    <row r="115" spans="1:10" x14ac:dyDescent="0.25">
      <c r="A115" s="3">
        <v>27</v>
      </c>
      <c r="C115" s="3"/>
      <c r="D115" s="3"/>
      <c r="E115" s="3">
        <f t="shared" si="9"/>
        <v>0</v>
      </c>
      <c r="F115" s="4"/>
      <c r="G115" s="4">
        <f t="shared" si="10"/>
        <v>0</v>
      </c>
      <c r="H115" s="3"/>
      <c r="I115" s="4">
        <f t="shared" si="11"/>
        <v>0</v>
      </c>
      <c r="J115" s="4">
        <f t="shared" si="12"/>
        <v>0</v>
      </c>
    </row>
    <row r="116" spans="1:10" x14ac:dyDescent="0.25">
      <c r="A116" s="3">
        <v>28</v>
      </c>
      <c r="C116" s="3"/>
      <c r="D116" s="3"/>
      <c r="E116" s="3">
        <f t="shared" si="9"/>
        <v>0</v>
      </c>
      <c r="F116" s="4"/>
      <c r="G116" s="4">
        <f t="shared" si="10"/>
        <v>0</v>
      </c>
      <c r="H116" s="3"/>
      <c r="I116" s="4">
        <f t="shared" si="11"/>
        <v>0</v>
      </c>
      <c r="J116" s="4">
        <f t="shared" si="12"/>
        <v>0</v>
      </c>
    </row>
    <row r="117" spans="1:10" x14ac:dyDescent="0.25">
      <c r="A117" s="3">
        <v>29</v>
      </c>
      <c r="C117" s="3"/>
      <c r="D117" s="3"/>
      <c r="E117" s="3">
        <f t="shared" si="9"/>
        <v>0</v>
      </c>
      <c r="F117" s="4"/>
      <c r="G117" s="4">
        <f t="shared" si="10"/>
        <v>0</v>
      </c>
      <c r="H117" s="3"/>
      <c r="I117" s="4">
        <f t="shared" si="11"/>
        <v>0</v>
      </c>
      <c r="J117" s="4">
        <f t="shared" si="12"/>
        <v>0</v>
      </c>
    </row>
    <row r="118" spans="1:10" x14ac:dyDescent="0.25">
      <c r="A118" s="3">
        <v>30</v>
      </c>
      <c r="C118" s="3"/>
      <c r="D118" s="3"/>
      <c r="E118" s="3">
        <f t="shared" si="9"/>
        <v>0</v>
      </c>
      <c r="F118" s="4"/>
      <c r="G118" s="4">
        <f t="shared" si="10"/>
        <v>0</v>
      </c>
      <c r="H118" s="3"/>
      <c r="I118" s="4">
        <f t="shared" si="11"/>
        <v>0</v>
      </c>
      <c r="J118" s="4">
        <f t="shared" si="12"/>
        <v>0</v>
      </c>
    </row>
    <row r="119" spans="1:10" x14ac:dyDescent="0.25">
      <c r="A119" s="3">
        <v>31</v>
      </c>
      <c r="C119" s="3"/>
      <c r="D119" s="3"/>
      <c r="E119" s="3">
        <f t="shared" si="9"/>
        <v>0</v>
      </c>
      <c r="F119" s="4"/>
      <c r="G119" s="4">
        <f t="shared" si="10"/>
        <v>0</v>
      </c>
      <c r="H119" s="3"/>
      <c r="I119" s="4">
        <f t="shared" si="11"/>
        <v>0</v>
      </c>
      <c r="J119" s="4">
        <f t="shared" si="12"/>
        <v>0</v>
      </c>
    </row>
    <row r="120" spans="1:10" x14ac:dyDescent="0.25">
      <c r="A120" s="3">
        <v>32</v>
      </c>
      <c r="C120" s="3"/>
      <c r="D120" s="3"/>
      <c r="E120" s="3">
        <f t="shared" si="9"/>
        <v>0</v>
      </c>
      <c r="F120" s="4"/>
      <c r="G120" s="4">
        <f t="shared" si="10"/>
        <v>0</v>
      </c>
      <c r="H120" s="3"/>
      <c r="I120" s="4">
        <f t="shared" si="11"/>
        <v>0</v>
      </c>
      <c r="J120" s="4">
        <f t="shared" si="12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643000</v>
      </c>
      <c r="H121" s="5"/>
      <c r="I121" s="5"/>
      <c r="J121" s="5">
        <f t="shared" ref="J121" si="13">SUM(J89:J120)</f>
        <v>405850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1155330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CE29-3323-4E39-AD1C-AD3DE2ADA9F0}">
  <dimension ref="A1:J268"/>
  <sheetViews>
    <sheetView topLeftCell="A112" workbookViewId="0">
      <selection activeCell="H116" sqref="H11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>
        <v>0.5</v>
      </c>
      <c r="D3" s="3">
        <v>0.25</v>
      </c>
      <c r="E3" s="3">
        <f t="shared" ref="E3:E66" si="0">C3+D3</f>
        <v>0.75</v>
      </c>
      <c r="F3" s="4">
        <v>36000</v>
      </c>
      <c r="G3" s="4">
        <f>F3*E3</f>
        <v>27000</v>
      </c>
      <c r="H3" s="3">
        <v>0.4</v>
      </c>
      <c r="I3" s="4">
        <f>F3</f>
        <v>36000</v>
      </c>
      <c r="J3" s="4">
        <f>I3*H3</f>
        <v>14400</v>
      </c>
    </row>
    <row r="4" spans="1:10" x14ac:dyDescent="0.25">
      <c r="A4" s="3">
        <v>2</v>
      </c>
      <c r="B4" t="s">
        <v>10</v>
      </c>
      <c r="C4" s="3">
        <v>0.8</v>
      </c>
      <c r="D4" s="3">
        <v>0.5</v>
      </c>
      <c r="E4" s="3">
        <f t="shared" si="0"/>
        <v>1.3</v>
      </c>
      <c r="F4" s="4">
        <v>36000</v>
      </c>
      <c r="G4" s="4">
        <f t="shared" ref="G4:G73" si="1">F4*E4</f>
        <v>46800</v>
      </c>
      <c r="H4" s="3">
        <v>0.5</v>
      </c>
      <c r="I4" s="4">
        <f t="shared" ref="I4:I73" si="2">F4</f>
        <v>36000</v>
      </c>
      <c r="J4" s="4">
        <f t="shared" ref="J4:J68" si="3">I4*H4</f>
        <v>18000</v>
      </c>
    </row>
    <row r="5" spans="1:10" x14ac:dyDescent="0.25">
      <c r="A5" s="3">
        <v>3</v>
      </c>
      <c r="B5" t="s">
        <v>11</v>
      </c>
      <c r="C5" s="3">
        <v>2</v>
      </c>
      <c r="D5" s="3"/>
      <c r="E5" s="3">
        <f t="shared" si="0"/>
        <v>2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>
        <v>0.18</v>
      </c>
      <c r="D6" s="3"/>
      <c r="E6" s="3">
        <f t="shared" si="0"/>
        <v>0.18</v>
      </c>
      <c r="F6" s="4">
        <v>60000</v>
      </c>
      <c r="G6" s="4">
        <f t="shared" si="1"/>
        <v>10800</v>
      </c>
      <c r="H6" s="3">
        <v>0.18</v>
      </c>
      <c r="I6" s="4">
        <f t="shared" si="2"/>
        <v>60000</v>
      </c>
      <c r="J6" s="4">
        <f t="shared" si="3"/>
        <v>10800</v>
      </c>
    </row>
    <row r="7" spans="1:10" x14ac:dyDescent="0.25">
      <c r="A7" s="3">
        <v>5</v>
      </c>
      <c r="B7" t="s">
        <v>13</v>
      </c>
      <c r="C7" s="3">
        <v>0.5</v>
      </c>
      <c r="D7" s="3">
        <v>0.5</v>
      </c>
      <c r="E7" s="3">
        <f t="shared" si="0"/>
        <v>1</v>
      </c>
      <c r="F7" s="4">
        <v>40000</v>
      </c>
      <c r="G7" s="4">
        <f t="shared" si="1"/>
        <v>40000</v>
      </c>
      <c r="H7" s="3">
        <v>0.25</v>
      </c>
      <c r="I7" s="4">
        <f t="shared" si="2"/>
        <v>40000</v>
      </c>
      <c r="J7" s="4">
        <f t="shared" si="3"/>
        <v>10000</v>
      </c>
    </row>
    <row r="8" spans="1:10" x14ac:dyDescent="0.25">
      <c r="A8" s="3">
        <v>6</v>
      </c>
      <c r="B8" t="s">
        <v>14</v>
      </c>
      <c r="C8" s="3"/>
      <c r="D8" s="3"/>
      <c r="E8" s="3">
        <f t="shared" si="0"/>
        <v>0</v>
      </c>
      <c r="F8" s="4">
        <v>50000</v>
      </c>
      <c r="G8" s="4">
        <f t="shared" si="1"/>
        <v>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>
        <v>1</v>
      </c>
      <c r="D9" s="3"/>
      <c r="E9" s="3">
        <f t="shared" si="0"/>
        <v>1</v>
      </c>
      <c r="F9" s="4">
        <v>13000</v>
      </c>
      <c r="G9" s="4">
        <f t="shared" si="1"/>
        <v>13000</v>
      </c>
      <c r="H9" s="3"/>
      <c r="I9" s="4">
        <f t="shared" si="2"/>
        <v>13000</v>
      </c>
      <c r="J9" s="4">
        <f t="shared" si="3"/>
        <v>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1.25</v>
      </c>
      <c r="D19" s="3">
        <v>1</v>
      </c>
      <c r="E19" s="3">
        <f t="shared" si="0"/>
        <v>2.25</v>
      </c>
      <c r="F19" s="4">
        <v>20000</v>
      </c>
      <c r="G19" s="4">
        <f t="shared" si="1"/>
        <v>45000</v>
      </c>
      <c r="H19" s="3">
        <v>1</v>
      </c>
      <c r="I19" s="4">
        <f t="shared" si="2"/>
        <v>20000</v>
      </c>
      <c r="J19" s="4">
        <f t="shared" si="3"/>
        <v>20000</v>
      </c>
    </row>
    <row r="20" spans="1:10" x14ac:dyDescent="0.25">
      <c r="A20" s="3">
        <v>18</v>
      </c>
      <c r="B20" t="s">
        <v>25</v>
      </c>
      <c r="C20" s="3"/>
      <c r="D20" s="3"/>
      <c r="E20" s="3">
        <f t="shared" si="0"/>
        <v>0</v>
      </c>
      <c r="F20" s="4">
        <v>11000</v>
      </c>
      <c r="G20" s="4">
        <f t="shared" si="1"/>
        <v>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/>
      <c r="D23" s="3"/>
      <c r="E23" s="3">
        <f t="shared" si="0"/>
        <v>0</v>
      </c>
      <c r="F23" s="4">
        <v>8000</v>
      </c>
      <c r="G23" s="4">
        <f>F23*E23</f>
        <v>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>
        <v>1</v>
      </c>
      <c r="E26" s="3">
        <f t="shared" si="0"/>
        <v>1</v>
      </c>
      <c r="F26" s="4">
        <v>11500</v>
      </c>
      <c r="G26" s="4">
        <f t="shared" si="1"/>
        <v>11500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>
        <v>0.8</v>
      </c>
      <c r="D27" s="3"/>
      <c r="E27" s="3">
        <f t="shared" si="0"/>
        <v>0.8</v>
      </c>
      <c r="F27" s="4">
        <v>8500</v>
      </c>
      <c r="G27" s="4">
        <f t="shared" si="1"/>
        <v>6800</v>
      </c>
      <c r="H27" s="3">
        <v>0.25</v>
      </c>
      <c r="I27" s="4">
        <f t="shared" si="2"/>
        <v>8500</v>
      </c>
      <c r="J27" s="4">
        <f t="shared" si="3"/>
        <v>2125</v>
      </c>
    </row>
    <row r="28" spans="1:10" x14ac:dyDescent="0.25">
      <c r="A28" s="3">
        <v>26</v>
      </c>
      <c r="B28" t="s">
        <v>33</v>
      </c>
      <c r="C28" s="3">
        <v>1.5</v>
      </c>
      <c r="D28" s="3"/>
      <c r="E28" s="3">
        <f t="shared" si="0"/>
        <v>1.5</v>
      </c>
      <c r="F28" s="4">
        <v>3750</v>
      </c>
      <c r="G28" s="4">
        <f t="shared" si="1"/>
        <v>5625</v>
      </c>
      <c r="H28" s="3">
        <v>1.5</v>
      </c>
      <c r="I28" s="4">
        <f t="shared" si="2"/>
        <v>3750</v>
      </c>
      <c r="J28" s="4">
        <f t="shared" si="3"/>
        <v>5625</v>
      </c>
    </row>
    <row r="29" spans="1:10" x14ac:dyDescent="0.25">
      <c r="A29" s="3">
        <v>27</v>
      </c>
      <c r="B29" t="s">
        <v>34</v>
      </c>
      <c r="C29" s="3">
        <v>0.67</v>
      </c>
      <c r="D29" s="3"/>
      <c r="E29" s="3">
        <f t="shared" si="0"/>
        <v>0.67</v>
      </c>
      <c r="F29" s="4">
        <v>24000</v>
      </c>
      <c r="G29" s="4">
        <f t="shared" si="1"/>
        <v>16080.000000000002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0"/>
        <v>0.5</v>
      </c>
      <c r="F33" s="4">
        <v>56000</v>
      </c>
      <c r="G33" s="4">
        <f t="shared" si="1"/>
        <v>28000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>
        <v>4</v>
      </c>
      <c r="D34" s="3">
        <v>4</v>
      </c>
      <c r="E34" s="3">
        <f t="shared" si="0"/>
        <v>8</v>
      </c>
      <c r="F34" s="4">
        <v>17500</v>
      </c>
      <c r="G34" s="4">
        <f t="shared" si="1"/>
        <v>140000</v>
      </c>
      <c r="H34" s="3">
        <v>3</v>
      </c>
      <c r="I34" s="4">
        <f t="shared" si="2"/>
        <v>17500</v>
      </c>
      <c r="J34" s="4">
        <f t="shared" si="3"/>
        <v>52500</v>
      </c>
    </row>
    <row r="35" spans="1:10" x14ac:dyDescent="0.25">
      <c r="A35" s="3">
        <v>33</v>
      </c>
      <c r="B35" t="s">
        <v>40</v>
      </c>
      <c r="C35" s="3">
        <v>2.5</v>
      </c>
      <c r="D35" s="3">
        <v>1</v>
      </c>
      <c r="E35" s="3">
        <f t="shared" si="0"/>
        <v>3.5</v>
      </c>
      <c r="F35" s="4">
        <v>3000</v>
      </c>
      <c r="G35" s="4">
        <f t="shared" si="1"/>
        <v>10500</v>
      </c>
      <c r="H35" s="3">
        <v>3</v>
      </c>
      <c r="I35" s="4">
        <f t="shared" si="2"/>
        <v>3000</v>
      </c>
      <c r="J35" s="4">
        <f t="shared" si="3"/>
        <v>9000</v>
      </c>
    </row>
    <row r="36" spans="1:10" x14ac:dyDescent="0.25">
      <c r="A36" s="3">
        <v>34</v>
      </c>
      <c r="B36" t="s">
        <v>41</v>
      </c>
      <c r="C36" s="3">
        <v>2.5</v>
      </c>
      <c r="D36" s="3"/>
      <c r="E36" s="3">
        <f t="shared" si="0"/>
        <v>2.5</v>
      </c>
      <c r="F36" s="4">
        <v>11000</v>
      </c>
      <c r="G36" s="4">
        <f t="shared" si="1"/>
        <v>27500</v>
      </c>
      <c r="H36" s="3">
        <v>1</v>
      </c>
      <c r="I36" s="4">
        <f t="shared" si="2"/>
        <v>11000</v>
      </c>
      <c r="J36" s="4">
        <f t="shared" si="3"/>
        <v>11000</v>
      </c>
    </row>
    <row r="37" spans="1:10" x14ac:dyDescent="0.25">
      <c r="A37" s="3">
        <v>35</v>
      </c>
      <c r="B37" t="s">
        <v>42</v>
      </c>
      <c r="C37" s="3">
        <v>3</v>
      </c>
      <c r="D37" s="3">
        <v>10</v>
      </c>
      <c r="E37" s="3">
        <f t="shared" si="0"/>
        <v>13</v>
      </c>
      <c r="F37" s="4">
        <v>600</v>
      </c>
      <c r="G37" s="4">
        <f t="shared" si="1"/>
        <v>7800</v>
      </c>
      <c r="H37" s="3">
        <v>2</v>
      </c>
      <c r="I37" s="4">
        <f t="shared" si="2"/>
        <v>600</v>
      </c>
      <c r="J37" s="4">
        <f t="shared" si="3"/>
        <v>1200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2</v>
      </c>
      <c r="E41" s="3">
        <f t="shared" si="0"/>
        <v>4</v>
      </c>
      <c r="F41" s="4">
        <v>83000</v>
      </c>
      <c r="G41" s="4">
        <f t="shared" si="1"/>
        <v>332000</v>
      </c>
      <c r="H41" s="3">
        <v>2</v>
      </c>
      <c r="I41" s="4">
        <f t="shared" si="2"/>
        <v>83000</v>
      </c>
      <c r="J41" s="4">
        <f t="shared" si="3"/>
        <v>166000</v>
      </c>
    </row>
    <row r="42" spans="1:10" x14ac:dyDescent="0.25">
      <c r="A42" s="3">
        <v>40</v>
      </c>
      <c r="B42" t="s">
        <v>47</v>
      </c>
      <c r="C42" s="3"/>
      <c r="D42" s="3"/>
      <c r="E42" s="3">
        <f t="shared" si="0"/>
        <v>0</v>
      </c>
      <c r="F42" s="4">
        <v>21000</v>
      </c>
      <c r="G42" s="4">
        <f t="shared" si="1"/>
        <v>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/>
      <c r="D43" s="3"/>
      <c r="E43" s="3">
        <f t="shared" si="0"/>
        <v>0</v>
      </c>
      <c r="F43" s="4">
        <v>25000</v>
      </c>
      <c r="G43" s="4">
        <f t="shared" si="1"/>
        <v>0</v>
      </c>
      <c r="H43" s="3"/>
      <c r="I43" s="4">
        <f t="shared" si="2"/>
        <v>25000</v>
      </c>
      <c r="J43" s="4">
        <f t="shared" si="3"/>
        <v>0</v>
      </c>
    </row>
    <row r="44" spans="1:10" x14ac:dyDescent="0.25">
      <c r="A44" s="3">
        <v>42</v>
      </c>
      <c r="B44" t="s">
        <v>49</v>
      </c>
      <c r="C44" s="3">
        <v>1</v>
      </c>
      <c r="D44" s="3">
        <v>1</v>
      </c>
      <c r="E44" s="3">
        <f t="shared" si="0"/>
        <v>2</v>
      </c>
      <c r="F44" s="4">
        <v>5500</v>
      </c>
      <c r="G44" s="4">
        <f t="shared" si="1"/>
        <v>11000</v>
      </c>
      <c r="H44" s="3">
        <v>1</v>
      </c>
      <c r="I44" s="4">
        <f t="shared" si="2"/>
        <v>5500</v>
      </c>
      <c r="J44" s="4">
        <f t="shared" si="3"/>
        <v>5500</v>
      </c>
    </row>
    <row r="45" spans="1:10" x14ac:dyDescent="0.25">
      <c r="A45" s="3">
        <v>43</v>
      </c>
      <c r="B45" t="s">
        <v>50</v>
      </c>
      <c r="C45" s="3">
        <v>3</v>
      </c>
      <c r="D45" s="3">
        <v>2</v>
      </c>
      <c r="E45" s="3">
        <f t="shared" si="0"/>
        <v>5</v>
      </c>
      <c r="F45" s="4">
        <v>15500</v>
      </c>
      <c r="G45" s="4">
        <f t="shared" si="1"/>
        <v>77500</v>
      </c>
      <c r="H45" s="3">
        <v>3</v>
      </c>
      <c r="I45" s="4">
        <f t="shared" si="2"/>
        <v>15500</v>
      </c>
      <c r="J45" s="4">
        <f t="shared" si="3"/>
        <v>46500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6</v>
      </c>
      <c r="D49" s="3">
        <v>17</v>
      </c>
      <c r="E49" s="3">
        <f t="shared" si="0"/>
        <v>23</v>
      </c>
      <c r="F49" s="4">
        <v>6000</v>
      </c>
      <c r="G49" s="4">
        <f t="shared" si="1"/>
        <v>138000</v>
      </c>
      <c r="H49" s="3">
        <v>8</v>
      </c>
      <c r="I49" s="4">
        <f t="shared" si="2"/>
        <v>6000</v>
      </c>
      <c r="J49" s="4">
        <f t="shared" si="3"/>
        <v>48000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3</v>
      </c>
      <c r="D51" s="3"/>
      <c r="E51" s="3">
        <f t="shared" si="0"/>
        <v>3</v>
      </c>
      <c r="F51" s="4">
        <v>12000</v>
      </c>
      <c r="G51" s="4">
        <f>F51*E51</f>
        <v>36000</v>
      </c>
      <c r="H51" s="3">
        <v>2</v>
      </c>
      <c r="I51" s="4">
        <f t="shared" si="2"/>
        <v>12000</v>
      </c>
      <c r="J51" s="4">
        <f t="shared" si="3"/>
        <v>24000</v>
      </c>
    </row>
    <row r="52" spans="1:10" x14ac:dyDescent="0.25">
      <c r="A52" s="3">
        <v>50</v>
      </c>
      <c r="B52" t="s">
        <v>57</v>
      </c>
      <c r="C52" s="3">
        <v>0.5</v>
      </c>
      <c r="D52" s="3"/>
      <c r="E52" s="3">
        <f t="shared" si="0"/>
        <v>0.5</v>
      </c>
      <c r="F52" s="4">
        <v>9000</v>
      </c>
      <c r="G52" s="4">
        <f t="shared" si="1"/>
        <v>4500</v>
      </c>
      <c r="H52" s="3">
        <v>0.5</v>
      </c>
      <c r="I52" s="4">
        <f t="shared" si="2"/>
        <v>9000</v>
      </c>
      <c r="J52" s="4">
        <f t="shared" si="3"/>
        <v>4500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1</v>
      </c>
      <c r="D59" s="3">
        <v>1</v>
      </c>
      <c r="E59" s="3">
        <f t="shared" si="0"/>
        <v>2</v>
      </c>
      <c r="F59" s="4">
        <v>20000</v>
      </c>
      <c r="G59" s="4">
        <f t="shared" si="1"/>
        <v>40000</v>
      </c>
      <c r="H59" s="3">
        <v>1</v>
      </c>
      <c r="I59" s="4">
        <f t="shared" si="2"/>
        <v>20000</v>
      </c>
      <c r="J59" s="4">
        <f t="shared" si="3"/>
        <v>20000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4</v>
      </c>
      <c r="D61" s="3">
        <v>14</v>
      </c>
      <c r="E61" s="3">
        <f t="shared" si="0"/>
        <v>18</v>
      </c>
      <c r="F61" s="4">
        <v>5250</v>
      </c>
      <c r="G61" s="4">
        <f t="shared" si="1"/>
        <v>94500</v>
      </c>
      <c r="H61" s="3">
        <v>11</v>
      </c>
      <c r="I61" s="4">
        <f t="shared" si="2"/>
        <v>5250</v>
      </c>
      <c r="J61" s="4">
        <f t="shared" si="3"/>
        <v>57750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12</v>
      </c>
      <c r="D64" s="3"/>
      <c r="E64" s="3">
        <f t="shared" si="0"/>
        <v>12</v>
      </c>
      <c r="F64" s="4">
        <v>4625</v>
      </c>
      <c r="G64" s="4">
        <f t="shared" si="1"/>
        <v>55500</v>
      </c>
      <c r="H64" s="3"/>
      <c r="I64" s="4">
        <f t="shared" si="2"/>
        <v>4625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>
        <v>1</v>
      </c>
      <c r="D65" s="3">
        <v>10</v>
      </c>
      <c r="E65" s="3">
        <f t="shared" si="0"/>
        <v>11</v>
      </c>
      <c r="F65" s="4">
        <v>21000</v>
      </c>
      <c r="G65" s="4">
        <f t="shared" si="1"/>
        <v>231000</v>
      </c>
      <c r="H65" s="3">
        <v>1</v>
      </c>
      <c r="I65" s="4">
        <f t="shared" si="2"/>
        <v>21000</v>
      </c>
      <c r="J65" s="4">
        <f t="shared" si="3"/>
        <v>21000</v>
      </c>
    </row>
    <row r="66" spans="1:10" x14ac:dyDescent="0.25">
      <c r="A66" s="3">
        <v>64</v>
      </c>
      <c r="B66" t="s">
        <v>115</v>
      </c>
      <c r="C66" s="3"/>
      <c r="D66" s="3">
        <v>1</v>
      </c>
      <c r="E66" s="3">
        <f t="shared" si="0"/>
        <v>1</v>
      </c>
      <c r="F66" s="4">
        <v>100000</v>
      </c>
      <c r="G66" s="4">
        <f t="shared" si="1"/>
        <v>100000</v>
      </c>
      <c r="H66" s="3">
        <v>1</v>
      </c>
      <c r="I66" s="4">
        <f t="shared" si="2"/>
        <v>100000</v>
      </c>
      <c r="J66" s="4">
        <f t="shared" si="3"/>
        <v>100000</v>
      </c>
    </row>
    <row r="67" spans="1:10" x14ac:dyDescent="0.25">
      <c r="A67" s="3">
        <v>65</v>
      </c>
      <c r="B67" t="s">
        <v>71</v>
      </c>
      <c r="C67" s="3">
        <v>0.25</v>
      </c>
      <c r="D67" s="3">
        <v>2</v>
      </c>
      <c r="E67" s="3">
        <f t="shared" ref="E67:E83" si="4">C67+D67</f>
        <v>2.25</v>
      </c>
      <c r="F67" s="4">
        <v>17500</v>
      </c>
      <c r="G67" s="4">
        <f t="shared" si="1"/>
        <v>39375</v>
      </c>
      <c r="H67" s="3">
        <v>2.25</v>
      </c>
      <c r="I67" s="4">
        <f t="shared" si="2"/>
        <v>17500</v>
      </c>
      <c r="J67" s="4">
        <f t="shared" si="3"/>
        <v>39375</v>
      </c>
    </row>
    <row r="68" spans="1:10" x14ac:dyDescent="0.25">
      <c r="A68" s="3">
        <v>66</v>
      </c>
      <c r="B68" t="s">
        <v>72</v>
      </c>
      <c r="C68" s="3">
        <v>3</v>
      </c>
      <c r="D68" s="3">
        <v>8</v>
      </c>
      <c r="E68" s="3">
        <f t="shared" si="4"/>
        <v>11</v>
      </c>
      <c r="F68" s="4">
        <v>8000</v>
      </c>
      <c r="G68" s="4">
        <f t="shared" si="1"/>
        <v>88000</v>
      </c>
      <c r="H68" s="3">
        <v>9</v>
      </c>
      <c r="I68" s="4">
        <f t="shared" si="2"/>
        <v>8000</v>
      </c>
      <c r="J68" s="4">
        <f t="shared" si="3"/>
        <v>72000</v>
      </c>
    </row>
    <row r="69" spans="1:10" x14ac:dyDescent="0.25">
      <c r="A69" s="3">
        <v>67</v>
      </c>
      <c r="B69" t="s">
        <v>73</v>
      </c>
      <c r="C69" s="3">
        <v>2</v>
      </c>
      <c r="D69" s="3">
        <v>2</v>
      </c>
      <c r="E69" s="3">
        <f t="shared" si="4"/>
        <v>4</v>
      </c>
      <c r="F69" s="4"/>
      <c r="G69" s="4">
        <f t="shared" si="1"/>
        <v>0</v>
      </c>
      <c r="H69" s="3">
        <v>3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0.5</v>
      </c>
      <c r="D70" s="3">
        <v>2</v>
      </c>
      <c r="E70" s="3">
        <f t="shared" si="4"/>
        <v>2.5</v>
      </c>
      <c r="F70" s="4">
        <v>24000</v>
      </c>
      <c r="G70" s="4">
        <f t="shared" si="1"/>
        <v>60000</v>
      </c>
      <c r="H70" s="3">
        <v>2</v>
      </c>
      <c r="I70" s="4">
        <f t="shared" si="2"/>
        <v>24000</v>
      </c>
      <c r="J70" s="4">
        <f t="shared" si="5"/>
        <v>48000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>
        <v>2</v>
      </c>
      <c r="E72" s="3">
        <f t="shared" si="4"/>
        <v>4</v>
      </c>
      <c r="F72" s="4">
        <v>15000</v>
      </c>
      <c r="G72" s="4">
        <f>F72*E72</f>
        <v>60000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/>
      <c r="D74" s="3"/>
      <c r="E74" s="3">
        <f t="shared" si="4"/>
        <v>0</v>
      </c>
      <c r="F74" s="4"/>
      <c r="G74" s="4">
        <f t="shared" ref="G74:G83" si="6">F74*E74</f>
        <v>0</v>
      </c>
      <c r="H74" s="3"/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/>
      <c r="D75" s="3"/>
      <c r="E75" s="3">
        <f t="shared" si="4"/>
        <v>0</v>
      </c>
      <c r="F75" s="4"/>
      <c r="G75" s="4">
        <f t="shared" si="6"/>
        <v>0</v>
      </c>
      <c r="H75" s="3"/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16</v>
      </c>
      <c r="D76" s="3"/>
      <c r="E76" s="3">
        <f t="shared" si="4"/>
        <v>16</v>
      </c>
      <c r="F76" s="4"/>
      <c r="G76" s="4">
        <f t="shared" si="6"/>
        <v>0</v>
      </c>
      <c r="H76" s="3">
        <v>12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1803780</v>
      </c>
      <c r="H85" s="5"/>
      <c r="I85" s="5"/>
      <c r="J85" s="5">
        <f t="shared" ref="J85" si="8">SUM(J3:J84)</f>
        <v>865275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50</v>
      </c>
      <c r="D89" s="3"/>
      <c r="E89" s="3">
        <f>C89+D89</f>
        <v>50</v>
      </c>
      <c r="F89" s="4">
        <v>1240</v>
      </c>
      <c r="G89" s="4">
        <f>F89*E89</f>
        <v>62000</v>
      </c>
      <c r="H89" s="3">
        <v>46</v>
      </c>
      <c r="I89" s="4">
        <f>F89</f>
        <v>1240</v>
      </c>
      <c r="J89" s="4">
        <f>I89*H89</f>
        <v>57040</v>
      </c>
    </row>
    <row r="90" spans="1:10" x14ac:dyDescent="0.25">
      <c r="A90" s="3">
        <v>2</v>
      </c>
      <c r="B90" t="s">
        <v>85</v>
      </c>
      <c r="C90" s="3">
        <v>17</v>
      </c>
      <c r="D90" s="3">
        <v>10</v>
      </c>
      <c r="E90" s="3">
        <f>C90+D90</f>
        <v>27</v>
      </c>
      <c r="F90" s="4">
        <v>1000</v>
      </c>
      <c r="G90" s="4">
        <f t="shared" ref="G90:G120" si="9">F90*E90</f>
        <v>27000</v>
      </c>
      <c r="H90" s="3">
        <v>21</v>
      </c>
      <c r="I90" s="4">
        <f t="shared" ref="I90:I120" si="10">F90</f>
        <v>1000</v>
      </c>
      <c r="J90" s="4">
        <f t="shared" ref="J90:J120" si="11">I90*H90</f>
        <v>21000</v>
      </c>
    </row>
    <row r="91" spans="1:10" x14ac:dyDescent="0.25">
      <c r="A91" s="3">
        <v>3</v>
      </c>
      <c r="B91" t="s">
        <v>86</v>
      </c>
      <c r="C91" s="3">
        <v>7</v>
      </c>
      <c r="D91" s="3">
        <v>10</v>
      </c>
      <c r="E91" s="3">
        <f t="shared" ref="E91:E120" si="12">C91+D91</f>
        <v>17</v>
      </c>
      <c r="F91" s="4">
        <v>1650</v>
      </c>
      <c r="G91" s="4">
        <f t="shared" si="9"/>
        <v>28050</v>
      </c>
      <c r="H91" s="3">
        <v>13</v>
      </c>
      <c r="I91" s="4">
        <f t="shared" si="10"/>
        <v>1650</v>
      </c>
      <c r="J91" s="4">
        <f t="shared" si="11"/>
        <v>21450</v>
      </c>
    </row>
    <row r="92" spans="1:10" x14ac:dyDescent="0.25">
      <c r="A92" s="3">
        <v>4</v>
      </c>
      <c r="B92" t="s">
        <v>87</v>
      </c>
      <c r="C92" s="3">
        <v>5</v>
      </c>
      <c r="D92" s="3">
        <v>10</v>
      </c>
      <c r="E92" s="3">
        <f t="shared" si="12"/>
        <v>15</v>
      </c>
      <c r="F92" s="4">
        <v>1650</v>
      </c>
      <c r="G92" s="4">
        <f t="shared" si="9"/>
        <v>24750</v>
      </c>
      <c r="H92" s="3">
        <v>11</v>
      </c>
      <c r="I92" s="4">
        <f t="shared" si="10"/>
        <v>1650</v>
      </c>
      <c r="J92" s="4">
        <f t="shared" si="11"/>
        <v>18150</v>
      </c>
    </row>
    <row r="93" spans="1:10" x14ac:dyDescent="0.25">
      <c r="A93" s="3">
        <v>5</v>
      </c>
      <c r="B93" t="s">
        <v>88</v>
      </c>
      <c r="C93" s="3">
        <v>10</v>
      </c>
      <c r="D93" s="3"/>
      <c r="E93" s="3">
        <f t="shared" si="12"/>
        <v>10</v>
      </c>
      <c r="F93" s="4">
        <v>1750</v>
      </c>
      <c r="G93" s="4">
        <f t="shared" si="9"/>
        <v>17500</v>
      </c>
      <c r="H93" s="3">
        <v>10</v>
      </c>
      <c r="I93" s="4">
        <f t="shared" si="10"/>
        <v>1750</v>
      </c>
      <c r="J93" s="4">
        <f t="shared" si="11"/>
        <v>17500</v>
      </c>
    </row>
    <row r="94" spans="1:10" x14ac:dyDescent="0.25">
      <c r="A94" s="3">
        <v>6</v>
      </c>
      <c r="B94" t="s">
        <v>89</v>
      </c>
      <c r="C94" s="3">
        <v>7</v>
      </c>
      <c r="D94" s="3">
        <v>12</v>
      </c>
      <c r="E94" s="3">
        <f t="shared" si="12"/>
        <v>19</v>
      </c>
      <c r="F94" s="4">
        <v>1500</v>
      </c>
      <c r="G94" s="4">
        <f t="shared" si="9"/>
        <v>28500</v>
      </c>
      <c r="H94" s="3">
        <v>17</v>
      </c>
      <c r="I94" s="4">
        <f t="shared" si="10"/>
        <v>1500</v>
      </c>
      <c r="J94" s="4">
        <f t="shared" si="11"/>
        <v>25500</v>
      </c>
    </row>
    <row r="95" spans="1:10" x14ac:dyDescent="0.25">
      <c r="A95" s="3">
        <v>7</v>
      </c>
      <c r="B95" t="s">
        <v>90</v>
      </c>
      <c r="C95" s="3">
        <v>6</v>
      </c>
      <c r="D95" s="3">
        <v>6</v>
      </c>
      <c r="E95" s="3">
        <f t="shared" si="12"/>
        <v>12</v>
      </c>
      <c r="F95" s="4">
        <v>1500</v>
      </c>
      <c r="G95" s="4">
        <f t="shared" si="9"/>
        <v>18000</v>
      </c>
      <c r="H95" s="3">
        <v>9</v>
      </c>
      <c r="I95" s="4">
        <f t="shared" si="10"/>
        <v>1500</v>
      </c>
      <c r="J95" s="4">
        <f t="shared" si="11"/>
        <v>13500</v>
      </c>
    </row>
    <row r="96" spans="1:10" x14ac:dyDescent="0.25">
      <c r="A96" s="3">
        <v>8</v>
      </c>
      <c r="B96" t="s">
        <v>91</v>
      </c>
      <c r="C96" s="3">
        <v>12</v>
      </c>
      <c r="D96" s="3"/>
      <c r="E96" s="3">
        <f t="shared" si="12"/>
        <v>12</v>
      </c>
      <c r="F96" s="4">
        <v>3350</v>
      </c>
      <c r="G96" s="4">
        <f t="shared" si="9"/>
        <v>40200</v>
      </c>
      <c r="H96" s="3"/>
      <c r="I96" s="4">
        <f t="shared" si="10"/>
        <v>3350</v>
      </c>
      <c r="J96" s="4">
        <f t="shared" si="11"/>
        <v>0</v>
      </c>
    </row>
    <row r="97" spans="1:10" x14ac:dyDescent="0.25">
      <c r="A97" s="3">
        <v>9</v>
      </c>
      <c r="B97" t="s">
        <v>92</v>
      </c>
      <c r="C97" s="3">
        <v>1.25</v>
      </c>
      <c r="D97" s="3">
        <v>1</v>
      </c>
      <c r="E97" s="3">
        <f t="shared" si="12"/>
        <v>2.25</v>
      </c>
      <c r="F97" s="4">
        <v>23000</v>
      </c>
      <c r="G97" s="4">
        <f t="shared" si="9"/>
        <v>51750</v>
      </c>
      <c r="H97" s="3"/>
      <c r="I97" s="4">
        <f t="shared" si="10"/>
        <v>23000</v>
      </c>
      <c r="J97" s="4">
        <f t="shared" si="11"/>
        <v>0</v>
      </c>
    </row>
    <row r="98" spans="1:10" x14ac:dyDescent="0.25">
      <c r="A98" s="3">
        <v>10</v>
      </c>
      <c r="B98" t="s">
        <v>93</v>
      </c>
      <c r="C98" s="3">
        <v>8</v>
      </c>
      <c r="D98" s="3"/>
      <c r="E98" s="3">
        <f t="shared" si="12"/>
        <v>8</v>
      </c>
      <c r="F98" s="4">
        <v>9000</v>
      </c>
      <c r="G98" s="4">
        <f t="shared" si="9"/>
        <v>72000</v>
      </c>
      <c r="H98" s="3">
        <v>5</v>
      </c>
      <c r="I98" s="4">
        <f t="shared" si="10"/>
        <v>9000</v>
      </c>
      <c r="J98" s="4">
        <f t="shared" si="11"/>
        <v>45000</v>
      </c>
    </row>
    <row r="99" spans="1:10" x14ac:dyDescent="0.25">
      <c r="A99" s="3">
        <v>11</v>
      </c>
      <c r="B99" t="s">
        <v>94</v>
      </c>
      <c r="C99" s="3">
        <v>0.25</v>
      </c>
      <c r="D99" s="3"/>
      <c r="E99" s="3">
        <f t="shared" si="12"/>
        <v>0.25</v>
      </c>
      <c r="F99" s="4">
        <v>6000</v>
      </c>
      <c r="G99" s="4">
        <f t="shared" si="9"/>
        <v>1500</v>
      </c>
      <c r="H99" s="3"/>
      <c r="I99" s="4">
        <f t="shared" si="10"/>
        <v>6000</v>
      </c>
      <c r="J99" s="4">
        <f t="shared" si="11"/>
        <v>0</v>
      </c>
    </row>
    <row r="100" spans="1:10" x14ac:dyDescent="0.25">
      <c r="A100" s="3">
        <v>12</v>
      </c>
      <c r="B100" t="s">
        <v>95</v>
      </c>
      <c r="C100" s="3"/>
      <c r="D100" s="3"/>
      <c r="E100" s="3">
        <f t="shared" si="12"/>
        <v>0</v>
      </c>
      <c r="F100" s="4">
        <v>8000</v>
      </c>
      <c r="G100" s="4">
        <f t="shared" si="9"/>
        <v>0</v>
      </c>
      <c r="H100" s="3"/>
      <c r="I100" s="4">
        <f t="shared" si="10"/>
        <v>8000</v>
      </c>
      <c r="J100" s="4">
        <f t="shared" si="11"/>
        <v>0</v>
      </c>
    </row>
    <row r="101" spans="1:10" x14ac:dyDescent="0.25">
      <c r="A101" s="3">
        <v>13</v>
      </c>
      <c r="B101" t="s">
        <v>96</v>
      </c>
      <c r="C101" s="3">
        <v>12</v>
      </c>
      <c r="D101" s="3"/>
      <c r="E101" s="3">
        <f t="shared" si="12"/>
        <v>12</v>
      </c>
      <c r="F101" s="4">
        <v>3300</v>
      </c>
      <c r="G101" s="4">
        <f t="shared" si="9"/>
        <v>39600</v>
      </c>
      <c r="H101" s="3"/>
      <c r="I101" s="4">
        <f t="shared" si="10"/>
        <v>3300</v>
      </c>
      <c r="J101" s="4">
        <f t="shared" si="11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2"/>
        <v>0</v>
      </c>
      <c r="F102" s="4"/>
      <c r="G102" s="4">
        <f t="shared" si="9"/>
        <v>0</v>
      </c>
      <c r="H102" s="3"/>
      <c r="I102" s="4">
        <f t="shared" si="10"/>
        <v>0</v>
      </c>
      <c r="J102" s="4">
        <f t="shared" si="11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2"/>
        <v>0</v>
      </c>
      <c r="F103" s="4"/>
      <c r="G103" s="4">
        <f t="shared" si="9"/>
        <v>0</v>
      </c>
      <c r="H103" s="3"/>
      <c r="I103" s="4">
        <f t="shared" si="10"/>
        <v>0</v>
      </c>
      <c r="J103" s="4">
        <f t="shared" si="11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2"/>
        <v>0</v>
      </c>
      <c r="F104" s="4"/>
      <c r="G104" s="4">
        <f t="shared" si="9"/>
        <v>0</v>
      </c>
      <c r="H104" s="3"/>
      <c r="I104" s="4">
        <f t="shared" si="10"/>
        <v>0</v>
      </c>
      <c r="J104" s="4">
        <f t="shared" si="11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2"/>
        <v>0</v>
      </c>
      <c r="F105" s="4"/>
      <c r="G105" s="4">
        <f t="shared" si="9"/>
        <v>0</v>
      </c>
      <c r="H105" s="3"/>
      <c r="I105" s="4">
        <f t="shared" si="10"/>
        <v>0</v>
      </c>
      <c r="J105" s="4">
        <f t="shared" si="11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2"/>
        <v>0</v>
      </c>
      <c r="F106" s="4"/>
      <c r="G106" s="4">
        <f t="shared" si="9"/>
        <v>0</v>
      </c>
      <c r="H106" s="3"/>
      <c r="I106" s="4">
        <f t="shared" si="10"/>
        <v>0</v>
      </c>
      <c r="J106" s="4">
        <f t="shared" si="11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2"/>
        <v>0</v>
      </c>
      <c r="F107" s="4"/>
      <c r="G107" s="4">
        <f t="shared" si="9"/>
        <v>0</v>
      </c>
      <c r="H107" s="3"/>
      <c r="I107" s="4">
        <f t="shared" si="10"/>
        <v>0</v>
      </c>
      <c r="J107" s="4">
        <f t="shared" si="11"/>
        <v>0</v>
      </c>
    </row>
    <row r="108" spans="1:10" x14ac:dyDescent="0.25">
      <c r="A108" s="3">
        <v>20</v>
      </c>
      <c r="B108" t="s">
        <v>103</v>
      </c>
      <c r="C108" s="3">
        <v>2</v>
      </c>
      <c r="D108" s="3"/>
      <c r="E108" s="3">
        <f t="shared" si="12"/>
        <v>2</v>
      </c>
      <c r="F108" s="4">
        <v>6000</v>
      </c>
      <c r="G108" s="4">
        <f t="shared" si="9"/>
        <v>12000</v>
      </c>
      <c r="H108" s="3"/>
      <c r="I108" s="4">
        <f t="shared" si="10"/>
        <v>6000</v>
      </c>
      <c r="J108" s="4">
        <f t="shared" si="11"/>
        <v>0</v>
      </c>
    </row>
    <row r="109" spans="1:10" x14ac:dyDescent="0.25">
      <c r="A109" s="3">
        <v>21</v>
      </c>
      <c r="B109" t="s">
        <v>104</v>
      </c>
      <c r="C109" s="3">
        <v>1.5</v>
      </c>
      <c r="D109" s="3"/>
      <c r="E109" s="3">
        <f t="shared" si="12"/>
        <v>1.5</v>
      </c>
      <c r="F109" s="4">
        <v>8000</v>
      </c>
      <c r="G109" s="4">
        <f t="shared" si="9"/>
        <v>12000</v>
      </c>
      <c r="H109" s="3"/>
      <c r="I109" s="4">
        <f t="shared" si="10"/>
        <v>8000</v>
      </c>
      <c r="J109" s="4">
        <f t="shared" si="11"/>
        <v>0</v>
      </c>
    </row>
    <row r="110" spans="1:10" x14ac:dyDescent="0.25">
      <c r="A110" s="3">
        <v>22</v>
      </c>
      <c r="B110" t="s">
        <v>105</v>
      </c>
      <c r="C110" s="3">
        <v>2</v>
      </c>
      <c r="D110" s="3">
        <v>2</v>
      </c>
      <c r="E110" s="3">
        <f t="shared" si="12"/>
        <v>4</v>
      </c>
      <c r="F110" s="4"/>
      <c r="G110" s="4">
        <f t="shared" si="9"/>
        <v>0</v>
      </c>
      <c r="H110" s="3">
        <v>4</v>
      </c>
      <c r="I110" s="4">
        <f t="shared" si="10"/>
        <v>0</v>
      </c>
      <c r="J110" s="4">
        <f t="shared" si="11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5</v>
      </c>
      <c r="E111" s="3">
        <f t="shared" si="12"/>
        <v>9</v>
      </c>
      <c r="F111" s="4">
        <v>4000</v>
      </c>
      <c r="G111" s="4">
        <f t="shared" si="9"/>
        <v>36000</v>
      </c>
      <c r="H111" s="3">
        <v>5</v>
      </c>
      <c r="I111" s="4">
        <f t="shared" si="10"/>
        <v>4000</v>
      </c>
      <c r="J111" s="4">
        <f t="shared" si="11"/>
        <v>20000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2"/>
        <v>6</v>
      </c>
      <c r="F112" s="4">
        <v>24000</v>
      </c>
      <c r="G112" s="4">
        <f t="shared" si="9"/>
        <v>144000</v>
      </c>
      <c r="H112" s="3">
        <v>4</v>
      </c>
      <c r="I112" s="4">
        <f t="shared" si="10"/>
        <v>24000</v>
      </c>
      <c r="J112" s="4">
        <f t="shared" si="11"/>
        <v>96000</v>
      </c>
    </row>
    <row r="113" spans="1:10" x14ac:dyDescent="0.25">
      <c r="A113" s="3">
        <v>25</v>
      </c>
      <c r="B113" t="s">
        <v>114</v>
      </c>
      <c r="C113" s="3">
        <v>10</v>
      </c>
      <c r="D113" s="3"/>
      <c r="E113" s="3">
        <f t="shared" si="12"/>
        <v>10</v>
      </c>
      <c r="F113" s="4">
        <v>6000</v>
      </c>
      <c r="G113" s="4">
        <f t="shared" si="9"/>
        <v>60000</v>
      </c>
      <c r="H113" s="3">
        <v>7</v>
      </c>
      <c r="I113" s="4">
        <f t="shared" si="10"/>
        <v>6000</v>
      </c>
      <c r="J113" s="4">
        <f t="shared" si="11"/>
        <v>42000</v>
      </c>
    </row>
    <row r="114" spans="1:10" x14ac:dyDescent="0.25">
      <c r="A114" s="3">
        <v>26</v>
      </c>
      <c r="C114" s="3"/>
      <c r="D114" s="3"/>
      <c r="E114" s="3">
        <f t="shared" si="12"/>
        <v>0</v>
      </c>
      <c r="F114" s="4"/>
      <c r="G114" s="4">
        <f t="shared" si="9"/>
        <v>0</v>
      </c>
      <c r="H114" s="3"/>
      <c r="I114" s="4">
        <f t="shared" si="10"/>
        <v>0</v>
      </c>
      <c r="J114" s="4">
        <f t="shared" si="11"/>
        <v>0</v>
      </c>
    </row>
    <row r="115" spans="1:10" x14ac:dyDescent="0.25">
      <c r="A115" s="3">
        <v>27</v>
      </c>
      <c r="C115" s="3"/>
      <c r="D115" s="3"/>
      <c r="E115" s="3">
        <f t="shared" si="12"/>
        <v>0</v>
      </c>
      <c r="F115" s="4"/>
      <c r="G115" s="4">
        <f t="shared" si="9"/>
        <v>0</v>
      </c>
      <c r="H115" s="3"/>
      <c r="I115" s="4">
        <f t="shared" si="10"/>
        <v>0</v>
      </c>
      <c r="J115" s="4">
        <f t="shared" si="11"/>
        <v>0</v>
      </c>
    </row>
    <row r="116" spans="1:10" x14ac:dyDescent="0.25">
      <c r="A116" s="3">
        <v>28</v>
      </c>
      <c r="C116" s="3"/>
      <c r="D116" s="3"/>
      <c r="E116" s="3">
        <f t="shared" si="12"/>
        <v>0</v>
      </c>
      <c r="F116" s="4"/>
      <c r="G116" s="4">
        <f t="shared" si="9"/>
        <v>0</v>
      </c>
      <c r="H116" s="3"/>
      <c r="I116" s="4">
        <f t="shared" si="10"/>
        <v>0</v>
      </c>
      <c r="J116" s="4">
        <f t="shared" si="11"/>
        <v>0</v>
      </c>
    </row>
    <row r="117" spans="1:10" x14ac:dyDescent="0.25">
      <c r="A117" s="3">
        <v>29</v>
      </c>
      <c r="C117" s="3"/>
      <c r="D117" s="3"/>
      <c r="E117" s="3">
        <f t="shared" si="12"/>
        <v>0</v>
      </c>
      <c r="F117" s="4"/>
      <c r="G117" s="4">
        <f t="shared" si="9"/>
        <v>0</v>
      </c>
      <c r="H117" s="3"/>
      <c r="I117" s="4">
        <f t="shared" si="10"/>
        <v>0</v>
      </c>
      <c r="J117" s="4">
        <f t="shared" si="11"/>
        <v>0</v>
      </c>
    </row>
    <row r="118" spans="1:10" x14ac:dyDescent="0.25">
      <c r="A118" s="3">
        <v>30</v>
      </c>
      <c r="C118" s="3"/>
      <c r="D118" s="3"/>
      <c r="E118" s="3">
        <f t="shared" si="12"/>
        <v>0</v>
      </c>
      <c r="F118" s="4"/>
      <c r="G118" s="4">
        <f t="shared" si="9"/>
        <v>0</v>
      </c>
      <c r="H118" s="3"/>
      <c r="I118" s="4">
        <f t="shared" si="10"/>
        <v>0</v>
      </c>
      <c r="J118" s="4">
        <f t="shared" si="11"/>
        <v>0</v>
      </c>
    </row>
    <row r="119" spans="1:10" x14ac:dyDescent="0.25">
      <c r="A119" s="3">
        <v>31</v>
      </c>
      <c r="C119" s="3"/>
      <c r="D119" s="3"/>
      <c r="E119" s="3">
        <f t="shared" si="12"/>
        <v>0</v>
      </c>
      <c r="F119" s="4"/>
      <c r="G119" s="4">
        <f t="shared" si="9"/>
        <v>0</v>
      </c>
      <c r="H119" s="3"/>
      <c r="I119" s="4">
        <f t="shared" si="10"/>
        <v>0</v>
      </c>
      <c r="J119" s="4">
        <f t="shared" si="11"/>
        <v>0</v>
      </c>
    </row>
    <row r="120" spans="1:10" x14ac:dyDescent="0.25">
      <c r="A120" s="3">
        <v>32</v>
      </c>
      <c r="C120" s="3"/>
      <c r="D120" s="3"/>
      <c r="E120" s="3">
        <f t="shared" si="12"/>
        <v>0</v>
      </c>
      <c r="F120" s="4"/>
      <c r="G120" s="4">
        <f t="shared" si="9"/>
        <v>0</v>
      </c>
      <c r="H120" s="3"/>
      <c r="I120" s="4">
        <f t="shared" si="10"/>
        <v>0</v>
      </c>
      <c r="J120" s="4">
        <f t="shared" si="11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674850</v>
      </c>
      <c r="H121" s="5"/>
      <c r="I121" s="5"/>
      <c r="J121" s="5">
        <f t="shared" ref="J121" si="13">SUM(J89:J120)</f>
        <v>377140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1242415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ED7A-2E16-4615-AD3F-5A2302C74928}">
  <dimension ref="A1:J268"/>
  <sheetViews>
    <sheetView topLeftCell="A70" workbookViewId="0">
      <selection activeCell="A87" sqref="A87:J87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>
        <v>0.4</v>
      </c>
      <c r="D3" s="3">
        <v>0.25</v>
      </c>
      <c r="E3" s="3">
        <f t="shared" ref="E3:E66" si="0">C3+D3</f>
        <v>0.65</v>
      </c>
      <c r="F3" s="4">
        <v>36000</v>
      </c>
      <c r="G3" s="4">
        <f>F3*E3</f>
        <v>23400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>
        <v>0.5</v>
      </c>
      <c r="D4" s="3"/>
      <c r="E4" s="3">
        <f t="shared" si="0"/>
        <v>0.5</v>
      </c>
      <c r="F4" s="4">
        <v>36000</v>
      </c>
      <c r="G4" s="4">
        <f t="shared" ref="G4:G73" si="1">F4*E4</f>
        <v>18000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>
        <v>0.18</v>
      </c>
      <c r="D6" s="3"/>
      <c r="E6" s="3">
        <f t="shared" si="0"/>
        <v>0.18</v>
      </c>
      <c r="F6" s="4">
        <v>60000</v>
      </c>
      <c r="G6" s="4">
        <f t="shared" si="1"/>
        <v>10800</v>
      </c>
      <c r="H6" s="3">
        <v>0.13</v>
      </c>
      <c r="I6" s="4">
        <f t="shared" si="2"/>
        <v>60000</v>
      </c>
      <c r="J6" s="4">
        <f t="shared" si="3"/>
        <v>7800</v>
      </c>
    </row>
    <row r="7" spans="1:10" x14ac:dyDescent="0.25">
      <c r="A7" s="3">
        <v>5</v>
      </c>
      <c r="B7" t="s">
        <v>13</v>
      </c>
      <c r="C7" s="3">
        <v>0.25</v>
      </c>
      <c r="D7" s="3"/>
      <c r="E7" s="3">
        <f t="shared" si="0"/>
        <v>0.25</v>
      </c>
      <c r="F7" s="4">
        <v>40000</v>
      </c>
      <c r="G7" s="4">
        <f t="shared" si="1"/>
        <v>10000</v>
      </c>
      <c r="H7" s="3">
        <v>0.09</v>
      </c>
      <c r="I7" s="4">
        <f t="shared" si="2"/>
        <v>40000</v>
      </c>
      <c r="J7" s="4">
        <f t="shared" si="3"/>
        <v>3600</v>
      </c>
    </row>
    <row r="8" spans="1:10" x14ac:dyDescent="0.25">
      <c r="A8" s="3">
        <v>6</v>
      </c>
      <c r="B8" t="s">
        <v>14</v>
      </c>
      <c r="C8" s="3"/>
      <c r="D8" s="3"/>
      <c r="E8" s="3">
        <f t="shared" si="0"/>
        <v>0</v>
      </c>
      <c r="F8" s="4">
        <v>50000</v>
      </c>
      <c r="G8" s="4">
        <f t="shared" si="1"/>
        <v>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/>
      <c r="I9" s="4">
        <f t="shared" si="2"/>
        <v>13000</v>
      </c>
      <c r="J9" s="4">
        <f t="shared" si="3"/>
        <v>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1</v>
      </c>
      <c r="D19" s="3"/>
      <c r="E19" s="3">
        <f t="shared" si="0"/>
        <v>1</v>
      </c>
      <c r="F19" s="4">
        <v>20000</v>
      </c>
      <c r="G19" s="4">
        <f t="shared" si="1"/>
        <v>20000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>
        <v>2</v>
      </c>
      <c r="D20" s="3">
        <v>2</v>
      </c>
      <c r="E20" s="3">
        <f t="shared" si="0"/>
        <v>4</v>
      </c>
      <c r="F20" s="4">
        <v>11000</v>
      </c>
      <c r="G20" s="4">
        <f t="shared" si="1"/>
        <v>44000</v>
      </c>
      <c r="H20" s="3">
        <v>3</v>
      </c>
      <c r="I20" s="4">
        <f t="shared" si="2"/>
        <v>11000</v>
      </c>
      <c r="J20" s="4">
        <f t="shared" si="3"/>
        <v>33000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/>
      <c r="D23" s="3"/>
      <c r="E23" s="3">
        <f t="shared" si="0"/>
        <v>0</v>
      </c>
      <c r="F23" s="4">
        <v>8000</v>
      </c>
      <c r="G23" s="4">
        <f>F23*E23</f>
        <v>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>
        <v>1</v>
      </c>
      <c r="E26" s="3">
        <f t="shared" si="0"/>
        <v>1</v>
      </c>
      <c r="F26" s="4">
        <v>11500</v>
      </c>
      <c r="G26" s="4">
        <f t="shared" si="1"/>
        <v>11500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>
        <v>0.25</v>
      </c>
      <c r="D27" s="3">
        <v>1</v>
      </c>
      <c r="E27" s="3">
        <f t="shared" si="0"/>
        <v>1.25</v>
      </c>
      <c r="F27" s="4">
        <v>8500</v>
      </c>
      <c r="G27" s="4">
        <f t="shared" si="1"/>
        <v>10625</v>
      </c>
      <c r="H27" s="3">
        <v>0.33</v>
      </c>
      <c r="I27" s="4">
        <f t="shared" si="2"/>
        <v>8500</v>
      </c>
      <c r="J27" s="4">
        <f t="shared" si="3"/>
        <v>2805</v>
      </c>
    </row>
    <row r="28" spans="1:10" x14ac:dyDescent="0.25">
      <c r="A28" s="3">
        <v>26</v>
      </c>
      <c r="B28" t="s">
        <v>33</v>
      </c>
      <c r="C28" s="3">
        <v>1.5</v>
      </c>
      <c r="D28" s="3"/>
      <c r="E28" s="3">
        <f t="shared" si="0"/>
        <v>1.5</v>
      </c>
      <c r="F28" s="4">
        <v>3750</v>
      </c>
      <c r="G28" s="4">
        <f t="shared" si="1"/>
        <v>5625</v>
      </c>
      <c r="H28" s="3">
        <v>1</v>
      </c>
      <c r="I28" s="4">
        <f t="shared" si="2"/>
        <v>3750</v>
      </c>
      <c r="J28" s="4">
        <f t="shared" si="3"/>
        <v>3750</v>
      </c>
    </row>
    <row r="29" spans="1:10" x14ac:dyDescent="0.25">
      <c r="A29" s="3">
        <v>27</v>
      </c>
      <c r="B29" t="s">
        <v>34</v>
      </c>
      <c r="C29" s="3"/>
      <c r="D29" s="3">
        <v>0.25</v>
      </c>
      <c r="E29" s="3">
        <f t="shared" si="0"/>
        <v>0.25</v>
      </c>
      <c r="F29" s="4">
        <v>24000</v>
      </c>
      <c r="G29" s="4">
        <f t="shared" si="1"/>
        <v>6000</v>
      </c>
      <c r="H29" s="3">
        <v>0.21</v>
      </c>
      <c r="I29" s="4">
        <f t="shared" si="2"/>
        <v>24000</v>
      </c>
      <c r="J29" s="4">
        <f t="shared" si="3"/>
        <v>5040</v>
      </c>
    </row>
    <row r="30" spans="1:10" x14ac:dyDescent="0.25">
      <c r="A30" s="3">
        <v>28</v>
      </c>
      <c r="B30" t="s">
        <v>35</v>
      </c>
      <c r="C30" s="3">
        <v>0.5</v>
      </c>
      <c r="D30" s="3"/>
      <c r="E30" s="3">
        <f t="shared" si="0"/>
        <v>0.5</v>
      </c>
      <c r="F30" s="4">
        <v>12000</v>
      </c>
      <c r="G30" s="4">
        <f t="shared" si="1"/>
        <v>6000</v>
      </c>
      <c r="H30" s="3">
        <v>0.28000000000000003</v>
      </c>
      <c r="I30" s="4">
        <f t="shared" si="2"/>
        <v>12000</v>
      </c>
      <c r="J30" s="4">
        <f t="shared" si="3"/>
        <v>3360.0000000000005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0"/>
        <v>0.5</v>
      </c>
      <c r="F33" s="4">
        <v>56000</v>
      </c>
      <c r="G33" s="4">
        <f t="shared" si="1"/>
        <v>28000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>
        <v>3</v>
      </c>
      <c r="D34" s="3">
        <v>2</v>
      </c>
      <c r="E34" s="3">
        <f t="shared" si="0"/>
        <v>5</v>
      </c>
      <c r="F34" s="4">
        <v>17500</v>
      </c>
      <c r="G34" s="4">
        <f t="shared" si="1"/>
        <v>87500</v>
      </c>
      <c r="H34" s="3">
        <v>3</v>
      </c>
      <c r="I34" s="4">
        <f t="shared" si="2"/>
        <v>17500</v>
      </c>
      <c r="J34" s="4">
        <f t="shared" si="3"/>
        <v>52500</v>
      </c>
    </row>
    <row r="35" spans="1:10" x14ac:dyDescent="0.25">
      <c r="A35" s="3">
        <v>33</v>
      </c>
      <c r="B35" t="s">
        <v>40</v>
      </c>
      <c r="C35" s="3">
        <v>3</v>
      </c>
      <c r="D35" s="3"/>
      <c r="E35" s="3">
        <f t="shared" si="0"/>
        <v>3</v>
      </c>
      <c r="F35" s="4">
        <v>3000</v>
      </c>
      <c r="G35" s="4">
        <f t="shared" si="1"/>
        <v>9000</v>
      </c>
      <c r="H35" s="3">
        <v>1</v>
      </c>
      <c r="I35" s="4">
        <f t="shared" si="2"/>
        <v>3000</v>
      </c>
      <c r="J35" s="4">
        <f t="shared" si="3"/>
        <v>3000</v>
      </c>
    </row>
    <row r="36" spans="1:10" x14ac:dyDescent="0.25">
      <c r="A36" s="3">
        <v>34</v>
      </c>
      <c r="B36" t="s">
        <v>41</v>
      </c>
      <c r="C36" s="3">
        <v>1</v>
      </c>
      <c r="D36" s="3"/>
      <c r="E36" s="3">
        <f t="shared" si="0"/>
        <v>1</v>
      </c>
      <c r="F36" s="4">
        <v>11000</v>
      </c>
      <c r="G36" s="4">
        <f t="shared" si="1"/>
        <v>11000</v>
      </c>
      <c r="H36" s="3">
        <v>1</v>
      </c>
      <c r="I36" s="4">
        <f t="shared" si="2"/>
        <v>11000</v>
      </c>
      <c r="J36" s="4">
        <f t="shared" si="3"/>
        <v>11000</v>
      </c>
    </row>
    <row r="37" spans="1:10" x14ac:dyDescent="0.25">
      <c r="A37" s="3">
        <v>35</v>
      </c>
      <c r="B37" t="s">
        <v>42</v>
      </c>
      <c r="C37" s="3">
        <v>2</v>
      </c>
      <c r="D37" s="3">
        <v>10</v>
      </c>
      <c r="E37" s="3">
        <f t="shared" si="0"/>
        <v>12</v>
      </c>
      <c r="F37" s="4">
        <v>600</v>
      </c>
      <c r="G37" s="4">
        <f t="shared" si="1"/>
        <v>7200</v>
      </c>
      <c r="H37" s="3">
        <v>7</v>
      </c>
      <c r="I37" s="4">
        <f t="shared" si="2"/>
        <v>600</v>
      </c>
      <c r="J37" s="4">
        <f t="shared" si="3"/>
        <v>4200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1</v>
      </c>
      <c r="E41" s="3">
        <f t="shared" si="0"/>
        <v>3</v>
      </c>
      <c r="F41" s="4">
        <v>83000</v>
      </c>
      <c r="G41" s="4">
        <f t="shared" si="1"/>
        <v>249000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/>
      <c r="D42" s="3"/>
      <c r="E42" s="3">
        <f t="shared" si="0"/>
        <v>0</v>
      </c>
      <c r="F42" s="4">
        <v>21000</v>
      </c>
      <c r="G42" s="4">
        <f t="shared" si="1"/>
        <v>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/>
      <c r="D43" s="3"/>
      <c r="E43" s="3">
        <f t="shared" si="0"/>
        <v>0</v>
      </c>
      <c r="F43" s="4">
        <v>25000</v>
      </c>
      <c r="G43" s="4">
        <f t="shared" si="1"/>
        <v>0</v>
      </c>
      <c r="H43" s="3"/>
      <c r="I43" s="4">
        <f t="shared" si="2"/>
        <v>25000</v>
      </c>
      <c r="J43" s="4">
        <f t="shared" si="3"/>
        <v>0</v>
      </c>
    </row>
    <row r="44" spans="1:10" x14ac:dyDescent="0.25">
      <c r="A44" s="3">
        <v>42</v>
      </c>
      <c r="B44" t="s">
        <v>49</v>
      </c>
      <c r="C44" s="3">
        <v>1</v>
      </c>
      <c r="D44" s="3"/>
      <c r="E44" s="3">
        <f t="shared" si="0"/>
        <v>1</v>
      </c>
      <c r="F44" s="4">
        <v>5500</v>
      </c>
      <c r="G44" s="4">
        <f t="shared" si="1"/>
        <v>5500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3</v>
      </c>
      <c r="D45" s="3"/>
      <c r="E45" s="3">
        <f t="shared" si="0"/>
        <v>3</v>
      </c>
      <c r="F45" s="4">
        <v>15500</v>
      </c>
      <c r="G45" s="4">
        <f t="shared" si="1"/>
        <v>46500</v>
      </c>
      <c r="H45" s="3">
        <v>1</v>
      </c>
      <c r="I45" s="4">
        <f t="shared" si="2"/>
        <v>15500</v>
      </c>
      <c r="J45" s="4">
        <f t="shared" si="3"/>
        <v>15500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8</v>
      </c>
      <c r="D49" s="3"/>
      <c r="E49" s="3">
        <f t="shared" si="0"/>
        <v>8</v>
      </c>
      <c r="F49" s="4">
        <v>6000</v>
      </c>
      <c r="G49" s="4">
        <f t="shared" si="1"/>
        <v>48000</v>
      </c>
      <c r="H49" s="3">
        <v>2</v>
      </c>
      <c r="I49" s="4">
        <f t="shared" si="2"/>
        <v>6000</v>
      </c>
      <c r="J49" s="4">
        <f t="shared" si="3"/>
        <v>12000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2</v>
      </c>
      <c r="D51" s="3"/>
      <c r="E51" s="3">
        <f t="shared" si="0"/>
        <v>2</v>
      </c>
      <c r="F51" s="4">
        <v>12000</v>
      </c>
      <c r="G51" s="4">
        <f>F51*E51</f>
        <v>24000</v>
      </c>
      <c r="H51" s="3">
        <v>0.25</v>
      </c>
      <c r="I51" s="4">
        <f t="shared" si="2"/>
        <v>12000</v>
      </c>
      <c r="J51" s="4">
        <f t="shared" si="3"/>
        <v>3000</v>
      </c>
    </row>
    <row r="52" spans="1:10" x14ac:dyDescent="0.25">
      <c r="A52" s="3">
        <v>50</v>
      </c>
      <c r="B52" t="s">
        <v>57</v>
      </c>
      <c r="C52" s="3">
        <v>0.5</v>
      </c>
      <c r="D52" s="3"/>
      <c r="E52" s="3">
        <f t="shared" si="0"/>
        <v>0.5</v>
      </c>
      <c r="F52" s="4">
        <v>9000</v>
      </c>
      <c r="G52" s="4">
        <f t="shared" si="1"/>
        <v>4500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1</v>
      </c>
      <c r="D59" s="3">
        <v>1</v>
      </c>
      <c r="E59" s="3">
        <f t="shared" si="0"/>
        <v>2</v>
      </c>
      <c r="F59" s="4">
        <v>20000</v>
      </c>
      <c r="G59" s="4">
        <f t="shared" si="1"/>
        <v>40000</v>
      </c>
      <c r="H59" s="3">
        <v>0.5</v>
      </c>
      <c r="I59" s="4">
        <f t="shared" si="2"/>
        <v>20000</v>
      </c>
      <c r="J59" s="4">
        <f t="shared" si="3"/>
        <v>10000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11</v>
      </c>
      <c r="D61" s="3">
        <v>7</v>
      </c>
      <c r="E61" s="3">
        <f t="shared" si="0"/>
        <v>18</v>
      </c>
      <c r="F61" s="4">
        <v>5250</v>
      </c>
      <c r="G61" s="4">
        <f t="shared" si="1"/>
        <v>94500</v>
      </c>
      <c r="H61" s="3"/>
      <c r="I61" s="4">
        <f t="shared" si="2"/>
        <v>5250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/>
      <c r="D64" s="3"/>
      <c r="E64" s="3">
        <f t="shared" si="0"/>
        <v>0</v>
      </c>
      <c r="F64" s="4">
        <v>4625</v>
      </c>
      <c r="G64" s="4">
        <f t="shared" si="1"/>
        <v>0</v>
      </c>
      <c r="H64" s="3">
        <v>4</v>
      </c>
      <c r="I64" s="4">
        <f t="shared" si="2"/>
        <v>4625</v>
      </c>
      <c r="J64" s="4">
        <f t="shared" si="3"/>
        <v>18500</v>
      </c>
    </row>
    <row r="65" spans="1:10" x14ac:dyDescent="0.25">
      <c r="A65" s="3">
        <v>63</v>
      </c>
      <c r="B65" t="s">
        <v>70</v>
      </c>
      <c r="C65" s="3">
        <v>1</v>
      </c>
      <c r="D65" s="3">
        <v>20</v>
      </c>
      <c r="E65" s="3">
        <f t="shared" si="0"/>
        <v>21</v>
      </c>
      <c r="F65" s="4">
        <v>21000</v>
      </c>
      <c r="G65" s="4">
        <f t="shared" si="1"/>
        <v>441000</v>
      </c>
      <c r="H65" s="3">
        <v>18</v>
      </c>
      <c r="I65" s="4">
        <f t="shared" si="2"/>
        <v>21000</v>
      </c>
      <c r="J65" s="4">
        <f t="shared" si="3"/>
        <v>378000</v>
      </c>
    </row>
    <row r="66" spans="1:10" x14ac:dyDescent="0.25">
      <c r="A66" s="3">
        <v>64</v>
      </c>
      <c r="B66" t="s">
        <v>115</v>
      </c>
      <c r="C66" s="3">
        <v>1</v>
      </c>
      <c r="D66" s="3"/>
      <c r="E66" s="3">
        <f t="shared" si="0"/>
        <v>1</v>
      </c>
      <c r="F66" s="4">
        <v>100000</v>
      </c>
      <c r="G66" s="4">
        <f t="shared" si="1"/>
        <v>100000</v>
      </c>
      <c r="H66" s="3">
        <v>0.5</v>
      </c>
      <c r="I66" s="4">
        <f t="shared" si="2"/>
        <v>100000</v>
      </c>
      <c r="J66" s="4">
        <f t="shared" si="3"/>
        <v>50000</v>
      </c>
    </row>
    <row r="67" spans="1:10" x14ac:dyDescent="0.25">
      <c r="A67" s="3">
        <v>65</v>
      </c>
      <c r="B67" t="s">
        <v>71</v>
      </c>
      <c r="C67" s="3">
        <v>2.25</v>
      </c>
      <c r="D67" s="3"/>
      <c r="E67" s="3">
        <f t="shared" ref="E67:E83" si="4">C67+D67</f>
        <v>2.25</v>
      </c>
      <c r="F67" s="4">
        <v>17500</v>
      </c>
      <c r="G67" s="4">
        <f t="shared" si="1"/>
        <v>39375</v>
      </c>
      <c r="H67" s="3">
        <v>1.5</v>
      </c>
      <c r="I67" s="4">
        <f t="shared" si="2"/>
        <v>17500</v>
      </c>
      <c r="J67" s="4">
        <f t="shared" si="3"/>
        <v>26250</v>
      </c>
    </row>
    <row r="68" spans="1:10" x14ac:dyDescent="0.25">
      <c r="A68" s="3">
        <v>66</v>
      </c>
      <c r="B68" t="s">
        <v>72</v>
      </c>
      <c r="C68" s="3">
        <v>9</v>
      </c>
      <c r="D68" s="3"/>
      <c r="E68" s="3">
        <f t="shared" si="4"/>
        <v>9</v>
      </c>
      <c r="F68" s="4">
        <v>8000</v>
      </c>
      <c r="G68" s="4">
        <f t="shared" si="1"/>
        <v>72000</v>
      </c>
      <c r="H68" s="3">
        <v>7</v>
      </c>
      <c r="I68" s="4">
        <f t="shared" si="2"/>
        <v>8000</v>
      </c>
      <c r="J68" s="4">
        <f t="shared" si="3"/>
        <v>56000</v>
      </c>
    </row>
    <row r="69" spans="1:10" x14ac:dyDescent="0.25">
      <c r="A69" s="3">
        <v>67</v>
      </c>
      <c r="B69" t="s">
        <v>73</v>
      </c>
      <c r="C69" s="3">
        <v>3</v>
      </c>
      <c r="D69" s="3"/>
      <c r="E69" s="3">
        <f t="shared" si="4"/>
        <v>3</v>
      </c>
      <c r="F69" s="4"/>
      <c r="G69" s="4">
        <f t="shared" si="1"/>
        <v>0</v>
      </c>
      <c r="H69" s="3">
        <v>1.5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2</v>
      </c>
      <c r="D70" s="3"/>
      <c r="E70" s="3">
        <f t="shared" si="4"/>
        <v>2</v>
      </c>
      <c r="F70" s="4">
        <v>24000</v>
      </c>
      <c r="G70" s="4">
        <f t="shared" si="1"/>
        <v>48000</v>
      </c>
      <c r="H70" s="3">
        <v>1.5</v>
      </c>
      <c r="I70" s="4">
        <f t="shared" si="2"/>
        <v>24000</v>
      </c>
      <c r="J70" s="4">
        <f t="shared" si="5"/>
        <v>36000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>
        <v>1</v>
      </c>
      <c r="E72" s="3">
        <f t="shared" si="4"/>
        <v>3</v>
      </c>
      <c r="F72" s="4">
        <v>15000</v>
      </c>
      <c r="G72" s="4">
        <f>F72*E72</f>
        <v>45000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>
        <v>4</v>
      </c>
      <c r="D73" s="3"/>
      <c r="E73" s="3">
        <f t="shared" si="4"/>
        <v>4</v>
      </c>
      <c r="F73" s="4"/>
      <c r="G73" s="4">
        <f t="shared" si="1"/>
        <v>0</v>
      </c>
      <c r="H73" s="3">
        <v>4</v>
      </c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32</v>
      </c>
      <c r="D74" s="3"/>
      <c r="E74" s="3">
        <f t="shared" si="4"/>
        <v>32</v>
      </c>
      <c r="F74" s="4"/>
      <c r="G74" s="4">
        <f t="shared" ref="G74:G83" si="6">F74*E74</f>
        <v>0</v>
      </c>
      <c r="H74" s="3">
        <v>32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/>
      <c r="D75" s="3"/>
      <c r="E75" s="3">
        <f t="shared" si="4"/>
        <v>0</v>
      </c>
      <c r="F75" s="4"/>
      <c r="G75" s="4">
        <f t="shared" si="6"/>
        <v>0</v>
      </c>
      <c r="H75" s="3">
        <v>12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12</v>
      </c>
      <c r="D76" s="3"/>
      <c r="E76" s="3">
        <f t="shared" si="4"/>
        <v>12</v>
      </c>
      <c r="F76" s="4"/>
      <c r="G76" s="4">
        <f t="shared" si="6"/>
        <v>0</v>
      </c>
      <c r="H76" s="3">
        <v>4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1579025</v>
      </c>
      <c r="H85" s="5"/>
      <c r="I85" s="5"/>
      <c r="J85" s="5">
        <f>SUM(J3:J84)</f>
        <v>876305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46</v>
      </c>
      <c r="D89" s="3"/>
      <c r="E89" s="3">
        <f>C89+D89</f>
        <v>46</v>
      </c>
      <c r="F89" s="4">
        <v>1240</v>
      </c>
      <c r="G89" s="4">
        <f>F89*E89</f>
        <v>57040</v>
      </c>
      <c r="H89" s="3">
        <v>42</v>
      </c>
      <c r="I89" s="4">
        <f>F89</f>
        <v>1240</v>
      </c>
      <c r="J89" s="4">
        <f>I89*H89</f>
        <v>52080</v>
      </c>
    </row>
    <row r="90" spans="1:10" x14ac:dyDescent="0.25">
      <c r="A90" s="3">
        <v>2</v>
      </c>
      <c r="B90" t="s">
        <v>85</v>
      </c>
      <c r="C90" s="3">
        <v>21</v>
      </c>
      <c r="D90" s="3"/>
      <c r="E90" s="3">
        <f>C90+D90</f>
        <v>21</v>
      </c>
      <c r="F90" s="4">
        <v>1000</v>
      </c>
      <c r="G90" s="4">
        <f t="shared" ref="G90:G120" si="8">F90*E90</f>
        <v>21000</v>
      </c>
      <c r="H90" s="3">
        <v>7</v>
      </c>
      <c r="I90" s="4">
        <f t="shared" ref="I90:I120" si="9">F90</f>
        <v>1000</v>
      </c>
      <c r="J90" s="4">
        <f t="shared" ref="J90:J120" si="10">I90*H90</f>
        <v>7000</v>
      </c>
    </row>
    <row r="91" spans="1:10" x14ac:dyDescent="0.25">
      <c r="A91" s="3">
        <v>3</v>
      </c>
      <c r="B91" t="s">
        <v>86</v>
      </c>
      <c r="C91" s="3">
        <v>13</v>
      </c>
      <c r="D91" s="3"/>
      <c r="E91" s="3">
        <f t="shared" ref="E91:E120" si="11">C91+D91</f>
        <v>13</v>
      </c>
      <c r="F91" s="4">
        <v>1650</v>
      </c>
      <c r="G91" s="4">
        <f t="shared" si="8"/>
        <v>21450</v>
      </c>
      <c r="H91" s="3">
        <v>9</v>
      </c>
      <c r="I91" s="4">
        <f t="shared" si="9"/>
        <v>1650</v>
      </c>
      <c r="J91" s="4">
        <f t="shared" si="10"/>
        <v>14850</v>
      </c>
    </row>
    <row r="92" spans="1:10" x14ac:dyDescent="0.25">
      <c r="A92" s="3">
        <v>4</v>
      </c>
      <c r="B92" t="s">
        <v>87</v>
      </c>
      <c r="C92" s="3">
        <v>11</v>
      </c>
      <c r="D92" s="3"/>
      <c r="E92" s="3">
        <f t="shared" si="11"/>
        <v>11</v>
      </c>
      <c r="F92" s="4">
        <v>1650</v>
      </c>
      <c r="G92" s="4">
        <f t="shared" si="8"/>
        <v>18150</v>
      </c>
      <c r="H92" s="3">
        <v>9</v>
      </c>
      <c r="I92" s="4">
        <f t="shared" si="9"/>
        <v>1650</v>
      </c>
      <c r="J92" s="4">
        <f t="shared" si="10"/>
        <v>14850</v>
      </c>
    </row>
    <row r="93" spans="1:10" x14ac:dyDescent="0.25">
      <c r="A93" s="3">
        <v>5</v>
      </c>
      <c r="B93" t="s">
        <v>88</v>
      </c>
      <c r="C93" s="3">
        <v>10</v>
      </c>
      <c r="D93" s="3"/>
      <c r="E93" s="3">
        <f t="shared" si="11"/>
        <v>10</v>
      </c>
      <c r="F93" s="4">
        <v>1750</v>
      </c>
      <c r="G93" s="4">
        <f t="shared" si="8"/>
        <v>17500</v>
      </c>
      <c r="H93" s="3">
        <v>10</v>
      </c>
      <c r="I93" s="4">
        <f t="shared" si="9"/>
        <v>1750</v>
      </c>
      <c r="J93" s="4">
        <f t="shared" si="10"/>
        <v>17500</v>
      </c>
    </row>
    <row r="94" spans="1:10" x14ac:dyDescent="0.25">
      <c r="A94" s="3">
        <v>6</v>
      </c>
      <c r="B94" t="s">
        <v>89</v>
      </c>
      <c r="C94" s="3">
        <v>17</v>
      </c>
      <c r="D94" s="3"/>
      <c r="E94" s="3">
        <f t="shared" si="11"/>
        <v>17</v>
      </c>
      <c r="F94" s="4">
        <v>1500</v>
      </c>
      <c r="G94" s="4">
        <f t="shared" si="8"/>
        <v>25500</v>
      </c>
      <c r="H94" s="3"/>
      <c r="I94" s="4">
        <f t="shared" si="9"/>
        <v>1500</v>
      </c>
      <c r="J94" s="4">
        <f t="shared" si="10"/>
        <v>0</v>
      </c>
    </row>
    <row r="95" spans="1:10" x14ac:dyDescent="0.25">
      <c r="A95" s="3">
        <v>7</v>
      </c>
      <c r="B95" t="s">
        <v>90</v>
      </c>
      <c r="C95" s="3">
        <v>9</v>
      </c>
      <c r="D95" s="3"/>
      <c r="E95" s="3">
        <f t="shared" si="11"/>
        <v>9</v>
      </c>
      <c r="F95" s="4">
        <v>1500</v>
      </c>
      <c r="G95" s="4">
        <f t="shared" si="8"/>
        <v>13500</v>
      </c>
      <c r="H95" s="3">
        <v>8</v>
      </c>
      <c r="I95" s="4">
        <f t="shared" si="9"/>
        <v>1500</v>
      </c>
      <c r="J95" s="4">
        <f t="shared" si="10"/>
        <v>12000</v>
      </c>
    </row>
    <row r="96" spans="1:10" x14ac:dyDescent="0.25">
      <c r="A96" s="3">
        <v>8</v>
      </c>
      <c r="B96" t="s">
        <v>91</v>
      </c>
      <c r="C96" s="3"/>
      <c r="D96" s="3"/>
      <c r="E96" s="3">
        <f t="shared" si="11"/>
        <v>0</v>
      </c>
      <c r="F96" s="4">
        <v>3350</v>
      </c>
      <c r="G96" s="4">
        <f t="shared" si="8"/>
        <v>0</v>
      </c>
      <c r="H96" s="3">
        <v>7</v>
      </c>
      <c r="I96" s="4">
        <f t="shared" si="9"/>
        <v>3350</v>
      </c>
      <c r="J96" s="4">
        <f t="shared" si="10"/>
        <v>23450</v>
      </c>
    </row>
    <row r="97" spans="1:10" x14ac:dyDescent="0.25">
      <c r="A97" s="3">
        <v>9</v>
      </c>
      <c r="B97" t="s">
        <v>92</v>
      </c>
      <c r="C97" s="3"/>
      <c r="D97" s="3"/>
      <c r="E97" s="3">
        <f t="shared" si="11"/>
        <v>0</v>
      </c>
      <c r="F97" s="4">
        <v>23000</v>
      </c>
      <c r="G97" s="4">
        <f t="shared" si="8"/>
        <v>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5</v>
      </c>
      <c r="D98" s="3"/>
      <c r="E98" s="3">
        <f t="shared" si="11"/>
        <v>5</v>
      </c>
      <c r="F98" s="4">
        <v>9000</v>
      </c>
      <c r="G98" s="4">
        <f t="shared" si="8"/>
        <v>45000</v>
      </c>
      <c r="H98" s="3">
        <v>3</v>
      </c>
      <c r="I98" s="4">
        <f t="shared" si="9"/>
        <v>9000</v>
      </c>
      <c r="J98" s="4">
        <f t="shared" si="10"/>
        <v>27000</v>
      </c>
    </row>
    <row r="99" spans="1:10" x14ac:dyDescent="0.25">
      <c r="A99" s="3">
        <v>11</v>
      </c>
      <c r="B99" t="s">
        <v>94</v>
      </c>
      <c r="C99" s="3"/>
      <c r="D99" s="3"/>
      <c r="E99" s="3">
        <f t="shared" si="11"/>
        <v>0</v>
      </c>
      <c r="F99" s="4">
        <v>6000</v>
      </c>
      <c r="G99" s="4">
        <f t="shared" si="8"/>
        <v>0</v>
      </c>
      <c r="H99" s="3"/>
      <c r="I99" s="4">
        <f t="shared" si="9"/>
        <v>6000</v>
      </c>
      <c r="J99" s="4">
        <f t="shared" si="10"/>
        <v>0</v>
      </c>
    </row>
    <row r="100" spans="1:10" x14ac:dyDescent="0.25">
      <c r="A100" s="3">
        <v>12</v>
      </c>
      <c r="B100" t="s">
        <v>95</v>
      </c>
      <c r="C100" s="3"/>
      <c r="D100" s="3"/>
      <c r="E100" s="3">
        <f t="shared" si="11"/>
        <v>0</v>
      </c>
      <c r="F100" s="4">
        <v>8000</v>
      </c>
      <c r="G100" s="4">
        <f t="shared" si="8"/>
        <v>0</v>
      </c>
      <c r="H100" s="3"/>
      <c r="I100" s="4">
        <f t="shared" si="9"/>
        <v>8000</v>
      </c>
      <c r="J100" s="4">
        <f t="shared" si="10"/>
        <v>0</v>
      </c>
    </row>
    <row r="101" spans="1:10" x14ac:dyDescent="0.25">
      <c r="A101" s="3">
        <v>13</v>
      </c>
      <c r="B101" t="s">
        <v>96</v>
      </c>
      <c r="C101" s="3">
        <v>6</v>
      </c>
      <c r="D101" s="3"/>
      <c r="E101" s="3">
        <f t="shared" si="11"/>
        <v>6</v>
      </c>
      <c r="F101" s="4">
        <v>3300</v>
      </c>
      <c r="G101" s="4">
        <f t="shared" si="8"/>
        <v>19800</v>
      </c>
      <c r="H101" s="3">
        <v>6</v>
      </c>
      <c r="I101" s="4">
        <f t="shared" si="9"/>
        <v>3300</v>
      </c>
      <c r="J101" s="4">
        <f t="shared" si="10"/>
        <v>19800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 t="shared" si="10"/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>
        <v>2</v>
      </c>
      <c r="I108" s="4">
        <f t="shared" si="9"/>
        <v>6000</v>
      </c>
      <c r="J108" s="4">
        <f t="shared" si="10"/>
        <v>12000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>
        <v>4</v>
      </c>
      <c r="D110" s="3"/>
      <c r="E110" s="3">
        <f t="shared" si="11"/>
        <v>4</v>
      </c>
      <c r="F110" s="4"/>
      <c r="G110" s="4">
        <f t="shared" si="8"/>
        <v>0</v>
      </c>
      <c r="H110" s="3">
        <v>2</v>
      </c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5</v>
      </c>
      <c r="D111" s="3"/>
      <c r="E111" s="3">
        <f t="shared" si="11"/>
        <v>5</v>
      </c>
      <c r="F111" s="4">
        <v>4000</v>
      </c>
      <c r="G111" s="4">
        <f t="shared" si="8"/>
        <v>20000</v>
      </c>
      <c r="H111" s="3">
        <v>5</v>
      </c>
      <c r="I111" s="4">
        <f t="shared" si="9"/>
        <v>4000</v>
      </c>
      <c r="J111" s="4">
        <f t="shared" si="10"/>
        <v>20000</v>
      </c>
    </row>
    <row r="112" spans="1:10" x14ac:dyDescent="0.25">
      <c r="A112" s="3">
        <v>24</v>
      </c>
      <c r="B112" t="s">
        <v>107</v>
      </c>
      <c r="C112" s="3">
        <v>4</v>
      </c>
      <c r="D112" s="3"/>
      <c r="E112" s="3">
        <f t="shared" si="11"/>
        <v>4</v>
      </c>
      <c r="F112" s="4">
        <v>24000</v>
      </c>
      <c r="G112" s="4">
        <f t="shared" si="8"/>
        <v>96000</v>
      </c>
      <c r="H112" s="3">
        <v>4</v>
      </c>
      <c r="I112" s="4">
        <f t="shared" si="9"/>
        <v>24000</v>
      </c>
      <c r="J112" s="4">
        <f t="shared" si="10"/>
        <v>96000</v>
      </c>
    </row>
    <row r="113" spans="1:10" x14ac:dyDescent="0.25">
      <c r="A113" s="3">
        <v>25</v>
      </c>
      <c r="B113" t="s">
        <v>114</v>
      </c>
      <c r="C113" s="3">
        <v>7</v>
      </c>
      <c r="D113" s="3"/>
      <c r="E113" s="3">
        <f t="shared" si="11"/>
        <v>7</v>
      </c>
      <c r="F113" s="4">
        <v>6000</v>
      </c>
      <c r="G113" s="4">
        <f t="shared" si="8"/>
        <v>42000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396940</v>
      </c>
      <c r="H121" s="5"/>
      <c r="I121" s="5"/>
      <c r="J121" s="5">
        <f>SUM(J89:J120)</f>
        <v>339530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1215835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4B1F-BED1-41C9-80C6-B8D6725E3BDC}">
  <dimension ref="A1:J268"/>
  <sheetViews>
    <sheetView topLeftCell="E99" workbookViewId="0">
      <selection activeCell="H89" sqref="H89:H119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0.5</v>
      </c>
      <c r="E3" s="3">
        <f t="shared" ref="E3:E66" si="0">C3+D3</f>
        <v>0.5</v>
      </c>
      <c r="F3" s="4">
        <v>36000</v>
      </c>
      <c r="G3" s="4">
        <f>F3*E3</f>
        <v>18000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/>
      <c r="D4" s="3">
        <v>0.5</v>
      </c>
      <c r="E4" s="3">
        <f t="shared" si="0"/>
        <v>0.5</v>
      </c>
      <c r="F4" s="4">
        <v>36000</v>
      </c>
      <c r="G4" s="4">
        <f t="shared" ref="G4:G73" si="1">F4*E4</f>
        <v>18000</v>
      </c>
      <c r="H4" s="3">
        <v>0.18</v>
      </c>
      <c r="I4" s="4">
        <f t="shared" ref="I4:I73" si="2">F4</f>
        <v>36000</v>
      </c>
      <c r="J4" s="4">
        <f t="shared" ref="J4:J68" si="3">I4*H4</f>
        <v>6480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>
        <v>0.13</v>
      </c>
      <c r="D6" s="3"/>
      <c r="E6" s="3">
        <f t="shared" si="0"/>
        <v>0.13</v>
      </c>
      <c r="F6" s="4">
        <v>60000</v>
      </c>
      <c r="G6" s="4">
        <f t="shared" si="1"/>
        <v>7800</v>
      </c>
      <c r="H6" s="3"/>
      <c r="I6" s="4">
        <f t="shared" si="2"/>
        <v>60000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>
        <v>0.09</v>
      </c>
      <c r="D7" s="3">
        <v>0.5</v>
      </c>
      <c r="E7" s="3">
        <f t="shared" si="0"/>
        <v>0.59</v>
      </c>
      <c r="F7" s="4">
        <v>40000</v>
      </c>
      <c r="G7" s="4">
        <f t="shared" si="1"/>
        <v>23600</v>
      </c>
      <c r="H7" s="3">
        <v>0.13</v>
      </c>
      <c r="I7" s="4">
        <f t="shared" si="2"/>
        <v>40000</v>
      </c>
      <c r="J7" s="4">
        <f t="shared" si="3"/>
        <v>5200</v>
      </c>
    </row>
    <row r="8" spans="1:10" x14ac:dyDescent="0.25">
      <c r="A8" s="3">
        <v>6</v>
      </c>
      <c r="B8" t="s">
        <v>14</v>
      </c>
      <c r="C8" s="3"/>
      <c r="D8" s="3">
        <v>0.5</v>
      </c>
      <c r="E8" s="3">
        <f t="shared" si="0"/>
        <v>0.5</v>
      </c>
      <c r="F8" s="4">
        <v>50000</v>
      </c>
      <c r="G8" s="4">
        <f t="shared" si="1"/>
        <v>25000</v>
      </c>
      <c r="H8" s="3">
        <v>0.12</v>
      </c>
      <c r="I8" s="4">
        <f t="shared" si="2"/>
        <v>50000</v>
      </c>
      <c r="J8" s="4">
        <f t="shared" si="3"/>
        <v>6000</v>
      </c>
    </row>
    <row r="9" spans="1:10" x14ac:dyDescent="0.25">
      <c r="A9" s="3">
        <v>7</v>
      </c>
      <c r="B9" t="s">
        <v>15</v>
      </c>
      <c r="C9" s="3"/>
      <c r="D9" s="3"/>
      <c r="E9" s="3">
        <f t="shared" si="0"/>
        <v>0</v>
      </c>
      <c r="F9" s="4">
        <v>13000</v>
      </c>
      <c r="G9" s="4">
        <f t="shared" si="1"/>
        <v>0</v>
      </c>
      <c r="H9" s="3"/>
      <c r="I9" s="4">
        <f t="shared" si="2"/>
        <v>13000</v>
      </c>
      <c r="J9" s="4">
        <f t="shared" si="3"/>
        <v>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/>
      <c r="E19" s="3">
        <f t="shared" si="0"/>
        <v>0</v>
      </c>
      <c r="F19" s="4">
        <v>20000</v>
      </c>
      <c r="G19" s="4">
        <f t="shared" si="1"/>
        <v>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>
        <v>3</v>
      </c>
      <c r="D20" s="3">
        <v>2</v>
      </c>
      <c r="E20" s="3">
        <f t="shared" si="0"/>
        <v>5</v>
      </c>
      <c r="F20" s="4">
        <v>11000</v>
      </c>
      <c r="G20" s="4">
        <f t="shared" si="1"/>
        <v>55000</v>
      </c>
      <c r="H20" s="3">
        <v>2.7</v>
      </c>
      <c r="I20" s="4">
        <f t="shared" si="2"/>
        <v>11000</v>
      </c>
      <c r="J20" s="4">
        <f t="shared" si="3"/>
        <v>29700.000000000004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/>
      <c r="D23" s="3"/>
      <c r="E23" s="3">
        <f t="shared" si="0"/>
        <v>0</v>
      </c>
      <c r="F23" s="4">
        <v>8000</v>
      </c>
      <c r="G23" s="4">
        <f>F23*E23</f>
        <v>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/>
      <c r="E26" s="3">
        <f t="shared" si="0"/>
        <v>0</v>
      </c>
      <c r="F26" s="4">
        <v>11500</v>
      </c>
      <c r="G26" s="4">
        <f t="shared" si="1"/>
        <v>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>
        <v>0.33</v>
      </c>
      <c r="D27" s="3">
        <v>1</v>
      </c>
      <c r="E27" s="3">
        <f t="shared" si="0"/>
        <v>1.33</v>
      </c>
      <c r="F27" s="4">
        <v>8500</v>
      </c>
      <c r="G27" s="4">
        <f t="shared" si="1"/>
        <v>11305</v>
      </c>
      <c r="H27" s="3">
        <v>1</v>
      </c>
      <c r="I27" s="4">
        <f t="shared" si="2"/>
        <v>8500</v>
      </c>
      <c r="J27" s="4">
        <f t="shared" si="3"/>
        <v>8500</v>
      </c>
    </row>
    <row r="28" spans="1:10" x14ac:dyDescent="0.25">
      <c r="A28" s="3">
        <v>26</v>
      </c>
      <c r="B28" t="s">
        <v>33</v>
      </c>
      <c r="C28" s="3">
        <v>1</v>
      </c>
      <c r="D28" s="3"/>
      <c r="E28" s="3">
        <f t="shared" si="0"/>
        <v>1</v>
      </c>
      <c r="F28" s="4">
        <v>3750</v>
      </c>
      <c r="G28" s="4">
        <f t="shared" si="1"/>
        <v>3750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0.21</v>
      </c>
      <c r="D29" s="3">
        <v>0.25</v>
      </c>
      <c r="E29" s="3">
        <f t="shared" si="0"/>
        <v>0.45999999999999996</v>
      </c>
      <c r="F29" s="4">
        <v>24000</v>
      </c>
      <c r="G29" s="4">
        <f t="shared" si="1"/>
        <v>11040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>
        <v>0.28000000000000003</v>
      </c>
      <c r="D30" s="3">
        <v>1</v>
      </c>
      <c r="E30" s="3">
        <f t="shared" si="0"/>
        <v>1.28</v>
      </c>
      <c r="F30" s="4">
        <v>12000</v>
      </c>
      <c r="G30" s="4">
        <f t="shared" si="1"/>
        <v>15360</v>
      </c>
      <c r="H30" s="3">
        <v>1</v>
      </c>
      <c r="I30" s="4">
        <f t="shared" si="2"/>
        <v>12000</v>
      </c>
      <c r="J30" s="4">
        <f t="shared" si="3"/>
        <v>12000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0"/>
        <v>0.5</v>
      </c>
      <c r="F33" s="4">
        <v>56000</v>
      </c>
      <c r="G33" s="4">
        <f t="shared" si="1"/>
        <v>28000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>
        <v>3</v>
      </c>
      <c r="D34" s="3">
        <v>7</v>
      </c>
      <c r="E34" s="3">
        <f t="shared" si="0"/>
        <v>10</v>
      </c>
      <c r="F34" s="4">
        <v>17500</v>
      </c>
      <c r="G34" s="4">
        <f t="shared" si="1"/>
        <v>175000</v>
      </c>
      <c r="H34" s="3">
        <v>3</v>
      </c>
      <c r="I34" s="4">
        <f t="shared" si="2"/>
        <v>17500</v>
      </c>
      <c r="J34" s="4">
        <f t="shared" si="3"/>
        <v>52500</v>
      </c>
    </row>
    <row r="35" spans="1:10" x14ac:dyDescent="0.25">
      <c r="A35" s="3">
        <v>33</v>
      </c>
      <c r="B35" t="s">
        <v>40</v>
      </c>
      <c r="C35" s="3">
        <v>1</v>
      </c>
      <c r="D35" s="3">
        <v>2</v>
      </c>
      <c r="E35" s="3">
        <f t="shared" si="0"/>
        <v>3</v>
      </c>
      <c r="F35" s="4">
        <v>3000</v>
      </c>
      <c r="G35" s="4">
        <f t="shared" si="1"/>
        <v>9000</v>
      </c>
      <c r="H35" s="3">
        <v>2</v>
      </c>
      <c r="I35" s="4">
        <f t="shared" si="2"/>
        <v>3000</v>
      </c>
      <c r="J35" s="4">
        <f t="shared" si="3"/>
        <v>6000</v>
      </c>
    </row>
    <row r="36" spans="1:10" x14ac:dyDescent="0.25">
      <c r="A36" s="3">
        <v>34</v>
      </c>
      <c r="B36" t="s">
        <v>41</v>
      </c>
      <c r="C36" s="3">
        <v>1</v>
      </c>
      <c r="D36" s="3">
        <v>1</v>
      </c>
      <c r="E36" s="3">
        <f t="shared" si="0"/>
        <v>2</v>
      </c>
      <c r="F36" s="4">
        <v>11000</v>
      </c>
      <c r="G36" s="4">
        <f t="shared" si="1"/>
        <v>22000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>
        <v>7</v>
      </c>
      <c r="D37" s="3"/>
      <c r="E37" s="3">
        <f t="shared" si="0"/>
        <v>7</v>
      </c>
      <c r="F37" s="4">
        <v>600</v>
      </c>
      <c r="G37" s="4">
        <f t="shared" si="1"/>
        <v>4200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2</v>
      </c>
      <c r="E41" s="3">
        <f t="shared" si="0"/>
        <v>3</v>
      </c>
      <c r="F41" s="4">
        <v>83000</v>
      </c>
      <c r="G41" s="4">
        <f t="shared" si="1"/>
        <v>249000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/>
      <c r="D42" s="3"/>
      <c r="E42" s="3">
        <f t="shared" si="0"/>
        <v>0</v>
      </c>
      <c r="F42" s="4">
        <v>21000</v>
      </c>
      <c r="G42" s="4">
        <f t="shared" si="1"/>
        <v>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/>
      <c r="D43" s="3"/>
      <c r="E43" s="3">
        <f t="shared" si="0"/>
        <v>0</v>
      </c>
      <c r="F43" s="4">
        <v>25000</v>
      </c>
      <c r="G43" s="4">
        <f t="shared" si="1"/>
        <v>0</v>
      </c>
      <c r="H43" s="3"/>
      <c r="I43" s="4">
        <f t="shared" si="2"/>
        <v>25000</v>
      </c>
      <c r="J43" s="4">
        <f t="shared" si="3"/>
        <v>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1</v>
      </c>
      <c r="D45" s="3">
        <v>5</v>
      </c>
      <c r="E45" s="3">
        <f t="shared" si="0"/>
        <v>6</v>
      </c>
      <c r="F45" s="4">
        <v>15500</v>
      </c>
      <c r="G45" s="4">
        <f t="shared" si="1"/>
        <v>93000</v>
      </c>
      <c r="H45" s="3">
        <v>3</v>
      </c>
      <c r="I45" s="4">
        <f t="shared" si="2"/>
        <v>15500</v>
      </c>
      <c r="J45" s="4">
        <f t="shared" si="3"/>
        <v>46500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2</v>
      </c>
      <c r="D49" s="3">
        <v>20</v>
      </c>
      <c r="E49" s="3">
        <f t="shared" si="0"/>
        <v>22</v>
      </c>
      <c r="F49" s="4">
        <v>6000</v>
      </c>
      <c r="G49" s="4">
        <f t="shared" si="1"/>
        <v>132000</v>
      </c>
      <c r="H49" s="3">
        <v>16</v>
      </c>
      <c r="I49" s="4">
        <f t="shared" si="2"/>
        <v>6000</v>
      </c>
      <c r="J49" s="4">
        <f t="shared" si="3"/>
        <v>96000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0.25</v>
      </c>
      <c r="D51" s="3">
        <v>2</v>
      </c>
      <c r="E51" s="3">
        <f t="shared" si="0"/>
        <v>2.25</v>
      </c>
      <c r="F51" s="4">
        <v>12000</v>
      </c>
      <c r="G51" s="4">
        <f>F51*E51</f>
        <v>27000</v>
      </c>
      <c r="H51" s="3">
        <v>0.8</v>
      </c>
      <c r="I51" s="4">
        <f t="shared" si="2"/>
        <v>12000</v>
      </c>
      <c r="J51" s="4">
        <f t="shared" si="3"/>
        <v>9600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0.5</v>
      </c>
      <c r="D59" s="3"/>
      <c r="E59" s="3">
        <f t="shared" si="0"/>
        <v>0.5</v>
      </c>
      <c r="F59" s="4">
        <v>20000</v>
      </c>
      <c r="G59" s="4">
        <f t="shared" si="1"/>
        <v>10000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/>
      <c r="E61" s="3">
        <f t="shared" si="0"/>
        <v>0</v>
      </c>
      <c r="F61" s="4">
        <v>5250</v>
      </c>
      <c r="G61" s="4">
        <f t="shared" si="1"/>
        <v>0</v>
      </c>
      <c r="H61" s="3"/>
      <c r="I61" s="4">
        <f t="shared" si="2"/>
        <v>5250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4</v>
      </c>
      <c r="D64" s="3">
        <v>32</v>
      </c>
      <c r="E64" s="3">
        <f t="shared" si="0"/>
        <v>36</v>
      </c>
      <c r="F64" s="4">
        <v>4625</v>
      </c>
      <c r="G64" s="4">
        <f t="shared" si="1"/>
        <v>166500</v>
      </c>
      <c r="H64" s="3">
        <v>10</v>
      </c>
      <c r="I64" s="4">
        <f t="shared" si="2"/>
        <v>4625</v>
      </c>
      <c r="J64" s="4">
        <f t="shared" si="3"/>
        <v>46250</v>
      </c>
    </row>
    <row r="65" spans="1:10" x14ac:dyDescent="0.25">
      <c r="A65" s="3">
        <v>63</v>
      </c>
      <c r="B65" t="s">
        <v>70</v>
      </c>
      <c r="C65" s="3">
        <v>18</v>
      </c>
      <c r="D65" s="3"/>
      <c r="E65" s="3">
        <f t="shared" si="0"/>
        <v>18</v>
      </c>
      <c r="F65" s="4">
        <v>21000</v>
      </c>
      <c r="G65" s="4">
        <f t="shared" si="1"/>
        <v>378000</v>
      </c>
      <c r="H65" s="3">
        <v>14</v>
      </c>
      <c r="I65" s="4">
        <f t="shared" si="2"/>
        <v>21000</v>
      </c>
      <c r="J65" s="4">
        <f t="shared" si="3"/>
        <v>294000</v>
      </c>
    </row>
    <row r="66" spans="1:10" x14ac:dyDescent="0.25">
      <c r="A66" s="3">
        <v>64</v>
      </c>
      <c r="B66" t="s">
        <v>115</v>
      </c>
      <c r="C66" s="3">
        <v>0.5</v>
      </c>
      <c r="D66" s="3"/>
      <c r="E66" s="3">
        <f t="shared" si="0"/>
        <v>0.5</v>
      </c>
      <c r="F66" s="4">
        <v>100000</v>
      </c>
      <c r="G66" s="4">
        <f t="shared" si="1"/>
        <v>50000</v>
      </c>
      <c r="H66" s="3">
        <v>0.3</v>
      </c>
      <c r="I66" s="4">
        <f t="shared" si="2"/>
        <v>100000</v>
      </c>
      <c r="J66" s="4">
        <f t="shared" si="3"/>
        <v>30000</v>
      </c>
    </row>
    <row r="67" spans="1:10" x14ac:dyDescent="0.25">
      <c r="A67" s="3">
        <v>65</v>
      </c>
      <c r="B67" t="s">
        <v>71</v>
      </c>
      <c r="C67" s="3">
        <v>1.5</v>
      </c>
      <c r="D67" s="3"/>
      <c r="E67" s="3">
        <f t="shared" ref="E67:E83" si="4">C67+D67</f>
        <v>1.5</v>
      </c>
      <c r="F67" s="4">
        <v>17500</v>
      </c>
      <c r="G67" s="4">
        <f t="shared" si="1"/>
        <v>26250</v>
      </c>
      <c r="H67" s="3">
        <v>0.5</v>
      </c>
      <c r="I67" s="4">
        <f t="shared" si="2"/>
        <v>17500</v>
      </c>
      <c r="J67" s="4">
        <f t="shared" si="3"/>
        <v>8750</v>
      </c>
    </row>
    <row r="68" spans="1:10" x14ac:dyDescent="0.25">
      <c r="A68" s="3">
        <v>66</v>
      </c>
      <c r="B68" t="s">
        <v>72</v>
      </c>
      <c r="C68" s="3">
        <v>7</v>
      </c>
      <c r="D68" s="3"/>
      <c r="E68" s="3">
        <f t="shared" si="4"/>
        <v>7</v>
      </c>
      <c r="F68" s="4">
        <v>8000</v>
      </c>
      <c r="G68" s="4">
        <f t="shared" si="1"/>
        <v>56000</v>
      </c>
      <c r="H68" s="3">
        <v>4.5</v>
      </c>
      <c r="I68" s="4">
        <f t="shared" si="2"/>
        <v>8000</v>
      </c>
      <c r="J68" s="4">
        <f t="shared" si="3"/>
        <v>36000</v>
      </c>
    </row>
    <row r="69" spans="1:10" x14ac:dyDescent="0.25">
      <c r="A69" s="3">
        <v>67</v>
      </c>
      <c r="B69" t="s">
        <v>73</v>
      </c>
      <c r="C69" s="3">
        <v>1.5</v>
      </c>
      <c r="D69" s="3"/>
      <c r="E69" s="3">
        <f t="shared" si="4"/>
        <v>1.5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1.5</v>
      </c>
      <c r="D70" s="3"/>
      <c r="E70" s="3">
        <f t="shared" si="4"/>
        <v>1.5</v>
      </c>
      <c r="F70" s="4">
        <v>24000</v>
      </c>
      <c r="G70" s="4">
        <f t="shared" si="1"/>
        <v>36000</v>
      </c>
      <c r="H70" s="3">
        <v>1</v>
      </c>
      <c r="I70" s="4">
        <f t="shared" si="2"/>
        <v>24000</v>
      </c>
      <c r="J70" s="4">
        <f t="shared" si="5"/>
        <v>24000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/>
      <c r="E72" s="3">
        <f t="shared" si="4"/>
        <v>2</v>
      </c>
      <c r="F72" s="4">
        <v>15000</v>
      </c>
      <c r="G72" s="4">
        <f>F72*E72</f>
        <v>30000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>
        <v>4</v>
      </c>
      <c r="D73" s="3"/>
      <c r="E73" s="3">
        <f t="shared" si="4"/>
        <v>4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32</v>
      </c>
      <c r="D74" s="3"/>
      <c r="E74" s="3">
        <f t="shared" si="4"/>
        <v>32</v>
      </c>
      <c r="F74" s="4"/>
      <c r="G74" s="4">
        <f t="shared" ref="G74:G83" si="6">F74*E74</f>
        <v>0</v>
      </c>
      <c r="H74" s="3">
        <v>30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12</v>
      </c>
      <c r="D75" s="3"/>
      <c r="E75" s="3">
        <f t="shared" si="4"/>
        <v>12</v>
      </c>
      <c r="F75" s="4"/>
      <c r="G75" s="4">
        <f t="shared" si="6"/>
        <v>0</v>
      </c>
      <c r="H75" s="3">
        <v>7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4</v>
      </c>
      <c r="D76" s="3">
        <v>17</v>
      </c>
      <c r="E76" s="3">
        <f t="shared" si="4"/>
        <v>21</v>
      </c>
      <c r="F76" s="4"/>
      <c r="G76" s="4">
        <f t="shared" si="6"/>
        <v>0</v>
      </c>
      <c r="H76" s="3">
        <v>19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1680805</v>
      </c>
      <c r="H85" s="5"/>
      <c r="I85" s="5"/>
      <c r="J85" s="5">
        <f>SUM(J3:J84)</f>
        <v>858480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42</v>
      </c>
      <c r="D89" s="3"/>
      <c r="E89" s="3">
        <f>C89+D89</f>
        <v>42</v>
      </c>
      <c r="F89" s="4">
        <v>1240</v>
      </c>
      <c r="G89" s="4">
        <f>F89*E89</f>
        <v>52080</v>
      </c>
      <c r="H89" s="3">
        <v>35</v>
      </c>
      <c r="I89" s="4">
        <f>F89</f>
        <v>1240</v>
      </c>
      <c r="J89" s="4">
        <f>I89*H89</f>
        <v>43400</v>
      </c>
    </row>
    <row r="90" spans="1:10" x14ac:dyDescent="0.25">
      <c r="A90" s="3">
        <v>2</v>
      </c>
      <c r="B90" t="s">
        <v>85</v>
      </c>
      <c r="C90" s="3">
        <v>7</v>
      </c>
      <c r="D90" s="3">
        <v>30</v>
      </c>
      <c r="E90" s="3">
        <f>C90+D90</f>
        <v>37</v>
      </c>
      <c r="F90" s="4">
        <v>1000</v>
      </c>
      <c r="G90" s="4">
        <f t="shared" ref="G90:G120" si="8">F90*E90</f>
        <v>37000</v>
      </c>
      <c r="H90" s="3">
        <v>21</v>
      </c>
      <c r="I90" s="4">
        <f t="shared" ref="I90:I120" si="9">F90</f>
        <v>1000</v>
      </c>
      <c r="J90" s="4">
        <f t="shared" ref="J90:J120" si="10">I90*H90</f>
        <v>21000</v>
      </c>
    </row>
    <row r="91" spans="1:10" x14ac:dyDescent="0.25">
      <c r="A91" s="3">
        <v>3</v>
      </c>
      <c r="B91" t="s">
        <v>86</v>
      </c>
      <c r="C91" s="3">
        <v>9</v>
      </c>
      <c r="D91" s="3">
        <v>20</v>
      </c>
      <c r="E91" s="3">
        <f t="shared" ref="E91:E120" si="11">C91+D91</f>
        <v>29</v>
      </c>
      <c r="F91" s="4">
        <v>1650</v>
      </c>
      <c r="G91" s="4">
        <f t="shared" si="8"/>
        <v>47850</v>
      </c>
      <c r="H91" s="3">
        <v>10</v>
      </c>
      <c r="I91" s="4">
        <f t="shared" si="9"/>
        <v>1650</v>
      </c>
      <c r="J91" s="4">
        <f t="shared" si="10"/>
        <v>16500</v>
      </c>
    </row>
    <row r="92" spans="1:10" x14ac:dyDescent="0.25">
      <c r="A92" s="3">
        <v>4</v>
      </c>
      <c r="B92" t="s">
        <v>87</v>
      </c>
      <c r="C92" s="3">
        <v>9</v>
      </c>
      <c r="D92" s="3"/>
      <c r="E92" s="3">
        <f t="shared" si="11"/>
        <v>9</v>
      </c>
      <c r="F92" s="4">
        <v>1650</v>
      </c>
      <c r="G92" s="4">
        <f t="shared" si="8"/>
        <v>14850</v>
      </c>
      <c r="H92" s="3">
        <v>3</v>
      </c>
      <c r="I92" s="4">
        <f t="shared" si="9"/>
        <v>1650</v>
      </c>
      <c r="J92" s="4">
        <f t="shared" si="10"/>
        <v>4950</v>
      </c>
    </row>
    <row r="93" spans="1:10" x14ac:dyDescent="0.25">
      <c r="A93" s="3">
        <v>5</v>
      </c>
      <c r="B93" t="s">
        <v>88</v>
      </c>
      <c r="C93" s="3">
        <v>10</v>
      </c>
      <c r="D93" s="3"/>
      <c r="E93" s="3">
        <f t="shared" si="11"/>
        <v>10</v>
      </c>
      <c r="F93" s="4">
        <v>1750</v>
      </c>
      <c r="G93" s="4">
        <f t="shared" si="8"/>
        <v>17500</v>
      </c>
      <c r="H93" s="3">
        <v>6</v>
      </c>
      <c r="I93" s="4">
        <f t="shared" si="9"/>
        <v>1750</v>
      </c>
      <c r="J93" s="4">
        <f t="shared" si="10"/>
        <v>10500</v>
      </c>
    </row>
    <row r="94" spans="1:10" x14ac:dyDescent="0.25">
      <c r="A94" s="3">
        <v>6</v>
      </c>
      <c r="B94" t="s">
        <v>89</v>
      </c>
      <c r="C94" s="3"/>
      <c r="D94" s="3">
        <v>12</v>
      </c>
      <c r="E94" s="3">
        <f t="shared" si="11"/>
        <v>12</v>
      </c>
      <c r="F94" s="4">
        <v>1500</v>
      </c>
      <c r="G94" s="4">
        <f t="shared" si="8"/>
        <v>18000</v>
      </c>
      <c r="H94" s="3">
        <v>1</v>
      </c>
      <c r="I94" s="4">
        <f t="shared" si="9"/>
        <v>1500</v>
      </c>
      <c r="J94" s="4">
        <f t="shared" si="10"/>
        <v>1500</v>
      </c>
    </row>
    <row r="95" spans="1:10" x14ac:dyDescent="0.25">
      <c r="A95" s="3">
        <v>7</v>
      </c>
      <c r="B95" t="s">
        <v>90</v>
      </c>
      <c r="C95" s="3">
        <v>8</v>
      </c>
      <c r="D95" s="3"/>
      <c r="E95" s="3">
        <f t="shared" si="11"/>
        <v>8</v>
      </c>
      <c r="F95" s="4">
        <v>1500</v>
      </c>
      <c r="G95" s="4">
        <f t="shared" si="8"/>
        <v>12000</v>
      </c>
      <c r="H95" s="3"/>
      <c r="I95" s="4">
        <f t="shared" si="9"/>
        <v>1500</v>
      </c>
      <c r="J95" s="4">
        <f t="shared" si="10"/>
        <v>0</v>
      </c>
    </row>
    <row r="96" spans="1:10" x14ac:dyDescent="0.25">
      <c r="A96" s="3">
        <v>8</v>
      </c>
      <c r="B96" t="s">
        <v>91</v>
      </c>
      <c r="C96" s="3">
        <v>7</v>
      </c>
      <c r="D96" s="3"/>
      <c r="E96" s="3">
        <f t="shared" si="11"/>
        <v>7</v>
      </c>
      <c r="F96" s="4">
        <v>3350</v>
      </c>
      <c r="G96" s="4">
        <f t="shared" si="8"/>
        <v>23450</v>
      </c>
      <c r="H96" s="3">
        <v>1</v>
      </c>
      <c r="I96" s="4">
        <f t="shared" si="9"/>
        <v>3350</v>
      </c>
      <c r="J96" s="4">
        <f t="shared" si="10"/>
        <v>3350</v>
      </c>
    </row>
    <row r="97" spans="1:10" x14ac:dyDescent="0.25">
      <c r="A97" s="3">
        <v>9</v>
      </c>
      <c r="B97" t="s">
        <v>92</v>
      </c>
      <c r="C97" s="3">
        <v>1</v>
      </c>
      <c r="D97" s="3"/>
      <c r="E97" s="3">
        <f t="shared" si="11"/>
        <v>1</v>
      </c>
      <c r="F97" s="4">
        <v>23000</v>
      </c>
      <c r="G97" s="4">
        <f t="shared" si="8"/>
        <v>23000</v>
      </c>
      <c r="H97" s="3">
        <v>0.5</v>
      </c>
      <c r="I97" s="4">
        <f t="shared" si="9"/>
        <v>23000</v>
      </c>
      <c r="J97" s="4">
        <f t="shared" si="10"/>
        <v>11500</v>
      </c>
    </row>
    <row r="98" spans="1:10" x14ac:dyDescent="0.25">
      <c r="A98" s="3">
        <v>10</v>
      </c>
      <c r="B98" t="s">
        <v>93</v>
      </c>
      <c r="C98" s="3">
        <v>3</v>
      </c>
      <c r="D98" s="3">
        <v>10</v>
      </c>
      <c r="E98" s="3">
        <f t="shared" si="11"/>
        <v>13</v>
      </c>
      <c r="F98" s="4">
        <v>9000</v>
      </c>
      <c r="G98" s="4">
        <f t="shared" si="8"/>
        <v>117000</v>
      </c>
      <c r="H98" s="3">
        <v>9</v>
      </c>
      <c r="I98" s="4">
        <f t="shared" si="9"/>
        <v>9000</v>
      </c>
      <c r="J98" s="4">
        <f t="shared" si="10"/>
        <v>81000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/>
      <c r="D100" s="3">
        <v>4</v>
      </c>
      <c r="E100" s="3">
        <f t="shared" si="11"/>
        <v>4</v>
      </c>
      <c r="F100" s="4">
        <v>8000</v>
      </c>
      <c r="G100" s="4">
        <f t="shared" si="8"/>
        <v>32000</v>
      </c>
      <c r="H100" s="3"/>
      <c r="I100" s="4">
        <f t="shared" si="9"/>
        <v>8000</v>
      </c>
      <c r="J100" s="4">
        <f t="shared" si="10"/>
        <v>0</v>
      </c>
    </row>
    <row r="101" spans="1:10" x14ac:dyDescent="0.25">
      <c r="A101" s="3">
        <v>13</v>
      </c>
      <c r="B101" t="s">
        <v>96</v>
      </c>
      <c r="C101" s="3">
        <v>6</v>
      </c>
      <c r="D101" s="3"/>
      <c r="E101" s="3">
        <f t="shared" si="11"/>
        <v>6</v>
      </c>
      <c r="F101" s="4">
        <v>3300</v>
      </c>
      <c r="G101" s="4">
        <f t="shared" si="8"/>
        <v>19800</v>
      </c>
      <c r="H101" s="3">
        <v>1</v>
      </c>
      <c r="I101" s="4">
        <f t="shared" si="9"/>
        <v>3300</v>
      </c>
      <c r="J101" s="4">
        <f t="shared" si="10"/>
        <v>3300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 t="shared" si="10"/>
        <v>0</v>
      </c>
    </row>
    <row r="108" spans="1:10" x14ac:dyDescent="0.25">
      <c r="A108" s="3">
        <v>20</v>
      </c>
      <c r="B108" t="s">
        <v>103</v>
      </c>
      <c r="C108" s="3">
        <v>2</v>
      </c>
      <c r="D108" s="3"/>
      <c r="E108" s="3">
        <f t="shared" si="11"/>
        <v>2</v>
      </c>
      <c r="F108" s="4">
        <v>6000</v>
      </c>
      <c r="G108" s="4">
        <f t="shared" si="8"/>
        <v>12000</v>
      </c>
      <c r="H108" s="3">
        <v>1</v>
      </c>
      <c r="I108" s="4">
        <f t="shared" si="9"/>
        <v>6000</v>
      </c>
      <c r="J108" s="4">
        <f t="shared" si="10"/>
        <v>6000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>
        <v>2</v>
      </c>
      <c r="D110" s="3">
        <v>2</v>
      </c>
      <c r="E110" s="3">
        <f t="shared" si="11"/>
        <v>4</v>
      </c>
      <c r="F110" s="4"/>
      <c r="G110" s="4">
        <f t="shared" si="8"/>
        <v>0</v>
      </c>
      <c r="H110" s="3">
        <v>1</v>
      </c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5</v>
      </c>
      <c r="D111" s="3"/>
      <c r="E111" s="3">
        <f t="shared" si="11"/>
        <v>5</v>
      </c>
      <c r="F111" s="4">
        <v>4000</v>
      </c>
      <c r="G111" s="4">
        <f t="shared" si="8"/>
        <v>20000</v>
      </c>
      <c r="H111" s="3">
        <v>1</v>
      </c>
      <c r="I111" s="4">
        <f t="shared" si="9"/>
        <v>4000</v>
      </c>
      <c r="J111" s="4">
        <f t="shared" si="10"/>
        <v>4000</v>
      </c>
    </row>
    <row r="112" spans="1:10" x14ac:dyDescent="0.25">
      <c r="A112" s="3">
        <v>24</v>
      </c>
      <c r="B112" t="s">
        <v>107</v>
      </c>
      <c r="C112" s="3">
        <v>4</v>
      </c>
      <c r="D112" s="3"/>
      <c r="E112" s="3">
        <f t="shared" si="11"/>
        <v>4</v>
      </c>
      <c r="F112" s="4">
        <v>24000</v>
      </c>
      <c r="G112" s="4">
        <f t="shared" si="8"/>
        <v>96000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554530</v>
      </c>
      <c r="H121" s="5"/>
      <c r="I121" s="5"/>
      <c r="J121" s="5">
        <f>SUM(J89:J120)</f>
        <v>261000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1119480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A271-0581-4F98-802C-90C6CAA06A22}">
  <dimension ref="A1:J268"/>
  <sheetViews>
    <sheetView workbookViewId="0">
      <selection sqref="A1:XFD104857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0.5</v>
      </c>
      <c r="E3" s="3">
        <f t="shared" ref="E3:E66" si="0">C3+D3</f>
        <v>0.5</v>
      </c>
      <c r="F3" s="4">
        <v>36000</v>
      </c>
      <c r="G3" s="4">
        <f>F3*E3</f>
        <v>18000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>
        <v>0.18</v>
      </c>
      <c r="D4" s="3">
        <v>0.5</v>
      </c>
      <c r="E4" s="3">
        <f t="shared" si="0"/>
        <v>0.67999999999999994</v>
      </c>
      <c r="F4" s="4">
        <v>36000</v>
      </c>
      <c r="G4" s="4">
        <f t="shared" ref="G4:G73" si="1">F4*E4</f>
        <v>24479.999999999996</v>
      </c>
      <c r="H4" s="3">
        <v>0.5</v>
      </c>
      <c r="I4" s="4">
        <f t="shared" ref="I4:I73" si="2">F4</f>
        <v>36000</v>
      </c>
      <c r="J4" s="4">
        <f t="shared" ref="J4:J68" si="3">I4*H4</f>
        <v>18000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>
        <v>60000</v>
      </c>
      <c r="G6" s="4">
        <f t="shared" si="1"/>
        <v>0</v>
      </c>
      <c r="H6" s="3"/>
      <c r="I6" s="4">
        <f t="shared" si="2"/>
        <v>60000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>
        <v>0.13</v>
      </c>
      <c r="D7" s="3">
        <v>0.25</v>
      </c>
      <c r="E7" s="3">
        <f t="shared" si="0"/>
        <v>0.38</v>
      </c>
      <c r="F7" s="4">
        <v>40000</v>
      </c>
      <c r="G7" s="4">
        <f t="shared" si="1"/>
        <v>15200</v>
      </c>
      <c r="H7" s="3">
        <v>0.25</v>
      </c>
      <c r="I7" s="4">
        <f t="shared" si="2"/>
        <v>40000</v>
      </c>
      <c r="J7" s="4">
        <f t="shared" si="3"/>
        <v>10000</v>
      </c>
    </row>
    <row r="8" spans="1:10" x14ac:dyDescent="0.25">
      <c r="A8" s="3">
        <v>6</v>
      </c>
      <c r="B8" t="s">
        <v>14</v>
      </c>
      <c r="C8" s="3">
        <v>0.12</v>
      </c>
      <c r="D8" s="3">
        <v>0.25</v>
      </c>
      <c r="E8" s="3">
        <f t="shared" si="0"/>
        <v>0.37</v>
      </c>
      <c r="F8" s="4">
        <v>50000</v>
      </c>
      <c r="G8" s="4">
        <f t="shared" si="1"/>
        <v>18500</v>
      </c>
      <c r="H8" s="3">
        <v>0.25</v>
      </c>
      <c r="I8" s="4">
        <f t="shared" si="2"/>
        <v>50000</v>
      </c>
      <c r="J8" s="4">
        <f t="shared" si="3"/>
        <v>12500</v>
      </c>
    </row>
    <row r="9" spans="1:10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/>
      <c r="I9" s="4">
        <f t="shared" si="2"/>
        <v>13000</v>
      </c>
      <c r="J9" s="4">
        <f t="shared" si="3"/>
        <v>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>
        <v>1</v>
      </c>
      <c r="E19" s="3">
        <f t="shared" si="0"/>
        <v>1</v>
      </c>
      <c r="F19" s="4">
        <v>20000</v>
      </c>
      <c r="G19" s="4">
        <f t="shared" si="1"/>
        <v>20000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>
        <v>2.7</v>
      </c>
      <c r="D20" s="3">
        <v>1</v>
      </c>
      <c r="E20" s="3">
        <f t="shared" si="0"/>
        <v>3.7</v>
      </c>
      <c r="F20" s="4">
        <v>11000</v>
      </c>
      <c r="G20" s="4">
        <f t="shared" si="1"/>
        <v>40700</v>
      </c>
      <c r="H20" s="3">
        <v>2</v>
      </c>
      <c r="I20" s="4">
        <f t="shared" si="2"/>
        <v>11000</v>
      </c>
      <c r="J20" s="4">
        <f t="shared" si="3"/>
        <v>22000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0.15</v>
      </c>
      <c r="D22" s="3">
        <v>0.25</v>
      </c>
      <c r="E22" s="3">
        <f t="shared" si="0"/>
        <v>0.4</v>
      </c>
      <c r="F22" s="4">
        <v>15000</v>
      </c>
      <c r="G22" s="4">
        <f t="shared" si="1"/>
        <v>6000</v>
      </c>
      <c r="H22" s="3">
        <v>0.44</v>
      </c>
      <c r="I22" s="4">
        <f t="shared" si="2"/>
        <v>15000</v>
      </c>
      <c r="J22" s="4">
        <f t="shared" si="3"/>
        <v>6600</v>
      </c>
    </row>
    <row r="23" spans="1:10" x14ac:dyDescent="0.25">
      <c r="A23" s="3">
        <v>21</v>
      </c>
      <c r="B23" t="s">
        <v>28</v>
      </c>
      <c r="C23" s="3"/>
      <c r="D23" s="3">
        <v>4</v>
      </c>
      <c r="E23" s="3">
        <f t="shared" si="0"/>
        <v>4</v>
      </c>
      <c r="F23" s="4">
        <v>8000</v>
      </c>
      <c r="G23" s="4">
        <f>F23*E23</f>
        <v>32000</v>
      </c>
      <c r="H23" s="3">
        <v>1.5</v>
      </c>
      <c r="I23" s="4">
        <f t="shared" si="2"/>
        <v>8000</v>
      </c>
      <c r="J23" s="4">
        <f t="shared" si="3"/>
        <v>12000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1</v>
      </c>
      <c r="D26" s="3">
        <v>1</v>
      </c>
      <c r="E26" s="3">
        <f t="shared" si="0"/>
        <v>2</v>
      </c>
      <c r="F26" s="4">
        <v>11500</v>
      </c>
      <c r="G26" s="4">
        <f t="shared" si="1"/>
        <v>23000</v>
      </c>
      <c r="H26" s="3">
        <v>1</v>
      </c>
      <c r="I26" s="4">
        <f t="shared" si="2"/>
        <v>11500</v>
      </c>
      <c r="J26" s="4">
        <f t="shared" si="3"/>
        <v>11500</v>
      </c>
    </row>
    <row r="27" spans="1:10" x14ac:dyDescent="0.25">
      <c r="A27" s="3">
        <v>25</v>
      </c>
      <c r="B27" t="s">
        <v>32</v>
      </c>
      <c r="C27" s="3">
        <v>1</v>
      </c>
      <c r="D27" s="3"/>
      <c r="E27" s="3">
        <f t="shared" si="0"/>
        <v>1</v>
      </c>
      <c r="F27" s="4">
        <v>8500</v>
      </c>
      <c r="G27" s="4">
        <f t="shared" si="1"/>
        <v>8500</v>
      </c>
      <c r="H27" s="3">
        <v>1</v>
      </c>
      <c r="I27" s="4">
        <f t="shared" si="2"/>
        <v>8500</v>
      </c>
      <c r="J27" s="4">
        <f t="shared" si="3"/>
        <v>8500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/>
      <c r="E29" s="3">
        <f t="shared" si="0"/>
        <v>0</v>
      </c>
      <c r="F29" s="4">
        <v>24000</v>
      </c>
      <c r="G29" s="4">
        <f t="shared" si="1"/>
        <v>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>
        <v>1</v>
      </c>
      <c r="D30" s="3"/>
      <c r="E30" s="3">
        <f t="shared" si="0"/>
        <v>1</v>
      </c>
      <c r="F30" s="4">
        <v>12000</v>
      </c>
      <c r="G30" s="4">
        <f t="shared" si="1"/>
        <v>12000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0"/>
        <v>0.5</v>
      </c>
      <c r="F33" s="4">
        <v>56000</v>
      </c>
      <c r="G33" s="4">
        <f t="shared" si="1"/>
        <v>28000</v>
      </c>
      <c r="H33" s="3">
        <v>0.25</v>
      </c>
      <c r="I33" s="4">
        <f t="shared" si="2"/>
        <v>56000</v>
      </c>
      <c r="J33" s="4">
        <f t="shared" si="3"/>
        <v>14000</v>
      </c>
    </row>
    <row r="34" spans="1:10" x14ac:dyDescent="0.25">
      <c r="A34" s="3">
        <v>32</v>
      </c>
      <c r="B34" t="s">
        <v>39</v>
      </c>
      <c r="C34" s="3">
        <v>3</v>
      </c>
      <c r="D34" s="3">
        <v>8</v>
      </c>
      <c r="E34" s="3">
        <f t="shared" si="0"/>
        <v>11</v>
      </c>
      <c r="F34" s="4">
        <v>17500</v>
      </c>
      <c r="G34" s="4">
        <f t="shared" si="1"/>
        <v>192500</v>
      </c>
      <c r="H34" s="3">
        <v>7</v>
      </c>
      <c r="I34" s="4">
        <f t="shared" si="2"/>
        <v>17500</v>
      </c>
      <c r="J34" s="4">
        <f t="shared" si="3"/>
        <v>122500</v>
      </c>
    </row>
    <row r="35" spans="1:10" x14ac:dyDescent="0.25">
      <c r="A35" s="3">
        <v>33</v>
      </c>
      <c r="B35" t="s">
        <v>40</v>
      </c>
      <c r="C35" s="3">
        <v>2</v>
      </c>
      <c r="D35" s="3"/>
      <c r="E35" s="3">
        <f t="shared" si="0"/>
        <v>2</v>
      </c>
      <c r="F35" s="4">
        <v>3000</v>
      </c>
      <c r="G35" s="4">
        <f t="shared" si="1"/>
        <v>6000</v>
      </c>
      <c r="H35" s="3">
        <v>2</v>
      </c>
      <c r="I35" s="4">
        <f t="shared" si="2"/>
        <v>3000</v>
      </c>
      <c r="J35" s="4">
        <f t="shared" si="3"/>
        <v>6000</v>
      </c>
    </row>
    <row r="36" spans="1:10" x14ac:dyDescent="0.25">
      <c r="A36" s="3">
        <v>34</v>
      </c>
      <c r="B36" t="s">
        <v>41</v>
      </c>
      <c r="C36" s="3"/>
      <c r="D36" s="3">
        <v>1</v>
      </c>
      <c r="E36" s="3">
        <f t="shared" si="0"/>
        <v>1</v>
      </c>
      <c r="F36" s="4">
        <v>11000</v>
      </c>
      <c r="G36" s="4">
        <f t="shared" si="1"/>
        <v>11000</v>
      </c>
      <c r="H36" s="3">
        <v>1</v>
      </c>
      <c r="I36" s="4">
        <f t="shared" si="2"/>
        <v>11000</v>
      </c>
      <c r="J36" s="4">
        <f t="shared" si="3"/>
        <v>11000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3</v>
      </c>
      <c r="E41" s="3">
        <f t="shared" si="0"/>
        <v>4</v>
      </c>
      <c r="F41" s="4">
        <v>83000</v>
      </c>
      <c r="G41" s="4">
        <f t="shared" si="1"/>
        <v>332000</v>
      </c>
      <c r="H41" s="3">
        <v>2</v>
      </c>
      <c r="I41" s="4">
        <f t="shared" si="2"/>
        <v>83000</v>
      </c>
      <c r="J41" s="4">
        <f t="shared" si="3"/>
        <v>166000</v>
      </c>
    </row>
    <row r="42" spans="1:10" x14ac:dyDescent="0.25">
      <c r="A42" s="3">
        <v>40</v>
      </c>
      <c r="B42" t="s">
        <v>47</v>
      </c>
      <c r="C42" s="3"/>
      <c r="D42" s="3"/>
      <c r="E42" s="3">
        <f t="shared" si="0"/>
        <v>0</v>
      </c>
      <c r="F42" s="4">
        <v>21000</v>
      </c>
      <c r="G42" s="4">
        <f t="shared" si="1"/>
        <v>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/>
      <c r="D43" s="3"/>
      <c r="E43" s="3">
        <f t="shared" si="0"/>
        <v>0</v>
      </c>
      <c r="F43" s="4">
        <v>25000</v>
      </c>
      <c r="G43" s="4">
        <f t="shared" si="1"/>
        <v>0</v>
      </c>
      <c r="H43" s="3"/>
      <c r="I43" s="4">
        <f t="shared" si="2"/>
        <v>25000</v>
      </c>
      <c r="J43" s="4">
        <f t="shared" si="3"/>
        <v>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3</v>
      </c>
      <c r="D45" s="3">
        <v>3</v>
      </c>
      <c r="E45" s="3">
        <f t="shared" si="0"/>
        <v>6</v>
      </c>
      <c r="F45" s="4">
        <v>15500</v>
      </c>
      <c r="G45" s="4">
        <f t="shared" si="1"/>
        <v>93000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16</v>
      </c>
      <c r="D49" s="3"/>
      <c r="E49" s="3">
        <f t="shared" si="0"/>
        <v>16</v>
      </c>
      <c r="F49" s="4">
        <v>6000</v>
      </c>
      <c r="G49" s="4">
        <f t="shared" si="1"/>
        <v>96000</v>
      </c>
      <c r="H49" s="3">
        <v>8</v>
      </c>
      <c r="I49" s="4">
        <f t="shared" si="2"/>
        <v>6000</v>
      </c>
      <c r="J49" s="4">
        <f t="shared" si="3"/>
        <v>48000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0.8</v>
      </c>
      <c r="D51" s="3">
        <v>2</v>
      </c>
      <c r="E51" s="3">
        <f t="shared" si="0"/>
        <v>2.8</v>
      </c>
      <c r="F51" s="4">
        <v>12000</v>
      </c>
      <c r="G51" s="4">
        <f>F51*E51</f>
        <v>33600</v>
      </c>
      <c r="H51" s="3">
        <v>0.25</v>
      </c>
      <c r="I51" s="4">
        <f t="shared" si="2"/>
        <v>12000</v>
      </c>
      <c r="J51" s="4">
        <f t="shared" si="3"/>
        <v>3000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/>
      <c r="E61" s="3">
        <f t="shared" si="0"/>
        <v>0</v>
      </c>
      <c r="F61" s="4">
        <v>5250</v>
      </c>
      <c r="G61" s="4">
        <f t="shared" si="1"/>
        <v>0</v>
      </c>
      <c r="H61" s="3"/>
      <c r="I61" s="4">
        <f t="shared" si="2"/>
        <v>5250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10</v>
      </c>
      <c r="D64" s="3"/>
      <c r="E64" s="3">
        <f t="shared" si="0"/>
        <v>10</v>
      </c>
      <c r="F64" s="4">
        <v>4625</v>
      </c>
      <c r="G64" s="4">
        <f t="shared" si="1"/>
        <v>46250</v>
      </c>
      <c r="H64" s="3"/>
      <c r="I64" s="4">
        <f t="shared" si="2"/>
        <v>4625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>
        <v>14</v>
      </c>
      <c r="D65" s="3"/>
      <c r="E65" s="3">
        <f t="shared" si="0"/>
        <v>14</v>
      </c>
      <c r="F65" s="4">
        <v>21000</v>
      </c>
      <c r="G65" s="4">
        <f t="shared" si="1"/>
        <v>294000</v>
      </c>
      <c r="H65" s="3">
        <v>6.25</v>
      </c>
      <c r="I65" s="4">
        <f t="shared" si="2"/>
        <v>21000</v>
      </c>
      <c r="J65" s="4">
        <f t="shared" si="3"/>
        <v>131250</v>
      </c>
    </row>
    <row r="66" spans="1:10" x14ac:dyDescent="0.25">
      <c r="A66" s="3">
        <v>64</v>
      </c>
      <c r="B66" t="s">
        <v>115</v>
      </c>
      <c r="C66" s="3">
        <v>0.3</v>
      </c>
      <c r="D66" s="3"/>
      <c r="E66" s="3">
        <f t="shared" si="0"/>
        <v>0.3</v>
      </c>
      <c r="F66" s="4">
        <v>100000</v>
      </c>
      <c r="G66" s="4">
        <f t="shared" si="1"/>
        <v>30000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>
        <v>0.5</v>
      </c>
      <c r="D67" s="3">
        <v>2</v>
      </c>
      <c r="E67" s="3">
        <f t="shared" ref="E67:E83" si="4">C67+D67</f>
        <v>2.5</v>
      </c>
      <c r="F67" s="4">
        <v>17500</v>
      </c>
      <c r="G67" s="4">
        <f t="shared" si="1"/>
        <v>43750</v>
      </c>
      <c r="H67" s="3">
        <v>0.5</v>
      </c>
      <c r="I67" s="4">
        <f t="shared" si="2"/>
        <v>17500</v>
      </c>
      <c r="J67" s="4">
        <f t="shared" si="3"/>
        <v>8750</v>
      </c>
    </row>
    <row r="68" spans="1:10" x14ac:dyDescent="0.25">
      <c r="A68" s="3">
        <v>66</v>
      </c>
      <c r="B68" t="s">
        <v>72</v>
      </c>
      <c r="C68" s="3">
        <v>4.5</v>
      </c>
      <c r="D68" s="3">
        <v>5</v>
      </c>
      <c r="E68" s="3">
        <f t="shared" si="4"/>
        <v>9.5</v>
      </c>
      <c r="F68" s="4">
        <v>8000</v>
      </c>
      <c r="G68" s="4">
        <f t="shared" si="1"/>
        <v>76000</v>
      </c>
      <c r="H68" s="3">
        <v>7.5</v>
      </c>
      <c r="I68" s="4">
        <f t="shared" si="2"/>
        <v>8000</v>
      </c>
      <c r="J68" s="4">
        <f t="shared" si="3"/>
        <v>60000</v>
      </c>
    </row>
    <row r="69" spans="1:10" x14ac:dyDescent="0.25">
      <c r="A69" s="3">
        <v>67</v>
      </c>
      <c r="B69" t="s">
        <v>73</v>
      </c>
      <c r="C69" s="3"/>
      <c r="D69" s="3">
        <v>2</v>
      </c>
      <c r="E69" s="3">
        <f t="shared" si="4"/>
        <v>2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1</v>
      </c>
      <c r="D70" s="3">
        <v>1</v>
      </c>
      <c r="E70" s="3">
        <f t="shared" si="4"/>
        <v>2</v>
      </c>
      <c r="F70" s="4">
        <v>24000</v>
      </c>
      <c r="G70" s="4">
        <f t="shared" si="1"/>
        <v>48000</v>
      </c>
      <c r="H70" s="3">
        <v>1</v>
      </c>
      <c r="I70" s="4">
        <f t="shared" si="2"/>
        <v>24000</v>
      </c>
      <c r="J70" s="4">
        <f t="shared" si="5"/>
        <v>24000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>
        <v>1</v>
      </c>
      <c r="E72" s="3">
        <f t="shared" si="4"/>
        <v>3</v>
      </c>
      <c r="F72" s="4">
        <v>15000</v>
      </c>
      <c r="G72" s="4">
        <f>F72*E72</f>
        <v>45000</v>
      </c>
      <c r="H72" s="3">
        <v>1.5</v>
      </c>
      <c r="I72" s="4">
        <f t="shared" si="2"/>
        <v>15000</v>
      </c>
      <c r="J72" s="4">
        <f t="shared" si="5"/>
        <v>22500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30</v>
      </c>
      <c r="D74" s="3"/>
      <c r="E74" s="3">
        <f t="shared" si="4"/>
        <v>30</v>
      </c>
      <c r="F74" s="4"/>
      <c r="G74" s="4">
        <f t="shared" ref="G74:G83" si="6">F74*E74</f>
        <v>0</v>
      </c>
      <c r="H74" s="3">
        <v>27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7</v>
      </c>
      <c r="D75" s="3"/>
      <c r="E75" s="3">
        <f t="shared" si="4"/>
        <v>7</v>
      </c>
      <c r="F75" s="4"/>
      <c r="G75" s="4">
        <f t="shared" si="6"/>
        <v>0</v>
      </c>
      <c r="H75" s="3">
        <v>4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19</v>
      </c>
      <c r="D76" s="3"/>
      <c r="E76" s="3">
        <f t="shared" si="4"/>
        <v>19</v>
      </c>
      <c r="F76" s="4"/>
      <c r="G76" s="4">
        <f t="shared" si="6"/>
        <v>0</v>
      </c>
      <c r="H76" s="3">
        <v>15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1606480</v>
      </c>
      <c r="H85" s="5"/>
      <c r="I85" s="5"/>
      <c r="J85" s="5">
        <f>SUM(J3:J84)</f>
        <v>749100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35</v>
      </c>
      <c r="D89" s="3"/>
      <c r="E89" s="3">
        <f>C89+D89</f>
        <v>35</v>
      </c>
      <c r="F89" s="4">
        <v>1240</v>
      </c>
      <c r="G89" s="4">
        <f>F89*E89</f>
        <v>43400</v>
      </c>
      <c r="H89" s="3">
        <v>29</v>
      </c>
      <c r="I89" s="4">
        <f>F89</f>
        <v>1240</v>
      </c>
      <c r="J89" s="4">
        <f>I89*H89</f>
        <v>35960</v>
      </c>
    </row>
    <row r="90" spans="1:10" x14ac:dyDescent="0.25">
      <c r="A90" s="3">
        <v>2</v>
      </c>
      <c r="B90" t="s">
        <v>85</v>
      </c>
      <c r="C90" s="3">
        <v>21</v>
      </c>
      <c r="D90" s="3">
        <v>30</v>
      </c>
      <c r="E90" s="3">
        <f>C90+D90</f>
        <v>51</v>
      </c>
      <c r="F90" s="4">
        <v>1000</v>
      </c>
      <c r="G90" s="4">
        <f t="shared" ref="G90:G120" si="8">F90*E90</f>
        <v>51000</v>
      </c>
      <c r="H90" s="3">
        <v>44</v>
      </c>
      <c r="I90" s="4">
        <f t="shared" ref="I90:I120" si="9">F90</f>
        <v>1000</v>
      </c>
      <c r="J90" s="4">
        <f t="shared" ref="J90:J120" si="10">I90*H90</f>
        <v>44000</v>
      </c>
    </row>
    <row r="91" spans="1:10" x14ac:dyDescent="0.25">
      <c r="A91" s="3">
        <v>3</v>
      </c>
      <c r="B91" t="s">
        <v>86</v>
      </c>
      <c r="C91" s="3">
        <v>10</v>
      </c>
      <c r="D91" s="3">
        <v>10</v>
      </c>
      <c r="E91" s="3">
        <f t="shared" ref="E91:E120" si="11">C91+D91</f>
        <v>20</v>
      </c>
      <c r="F91" s="4">
        <v>1650</v>
      </c>
      <c r="G91" s="4">
        <f t="shared" si="8"/>
        <v>33000</v>
      </c>
      <c r="H91" s="3">
        <v>20</v>
      </c>
      <c r="I91" s="4">
        <f t="shared" si="9"/>
        <v>1650</v>
      </c>
      <c r="J91" s="4">
        <f t="shared" si="10"/>
        <v>33000</v>
      </c>
    </row>
    <row r="92" spans="1:10" x14ac:dyDescent="0.25">
      <c r="A92" s="3">
        <v>4</v>
      </c>
      <c r="B92" t="s">
        <v>87</v>
      </c>
      <c r="C92" s="3">
        <v>3</v>
      </c>
      <c r="D92" s="3">
        <v>10</v>
      </c>
      <c r="E92" s="3">
        <f t="shared" si="11"/>
        <v>13</v>
      </c>
      <c r="F92" s="4">
        <v>1650</v>
      </c>
      <c r="G92" s="4">
        <f t="shared" si="8"/>
        <v>21450</v>
      </c>
      <c r="H92" s="3">
        <v>10</v>
      </c>
      <c r="I92" s="4">
        <f t="shared" si="9"/>
        <v>1650</v>
      </c>
      <c r="J92" s="4">
        <f t="shared" si="10"/>
        <v>16500</v>
      </c>
    </row>
    <row r="93" spans="1:10" x14ac:dyDescent="0.25">
      <c r="A93" s="3">
        <v>5</v>
      </c>
      <c r="B93" t="s">
        <v>88</v>
      </c>
      <c r="C93" s="3">
        <v>6</v>
      </c>
      <c r="D93" s="3"/>
      <c r="E93" s="3">
        <f t="shared" si="11"/>
        <v>6</v>
      </c>
      <c r="F93" s="4">
        <v>1750</v>
      </c>
      <c r="G93" s="4">
        <f t="shared" si="8"/>
        <v>10500</v>
      </c>
      <c r="H93" s="3">
        <v>5</v>
      </c>
      <c r="I93" s="4">
        <f t="shared" si="9"/>
        <v>1750</v>
      </c>
      <c r="J93" s="4">
        <f t="shared" si="10"/>
        <v>8750</v>
      </c>
    </row>
    <row r="94" spans="1:10" x14ac:dyDescent="0.25">
      <c r="A94" s="3">
        <v>6</v>
      </c>
      <c r="B94" t="s">
        <v>89</v>
      </c>
      <c r="C94" s="3">
        <v>1</v>
      </c>
      <c r="D94" s="3">
        <v>18</v>
      </c>
      <c r="E94" s="3">
        <f t="shared" si="11"/>
        <v>19</v>
      </c>
      <c r="F94" s="4">
        <v>1500</v>
      </c>
      <c r="G94" s="4">
        <f t="shared" si="8"/>
        <v>28500</v>
      </c>
      <c r="H94" s="3">
        <v>7</v>
      </c>
      <c r="I94" s="4">
        <f t="shared" si="9"/>
        <v>1500</v>
      </c>
      <c r="J94" s="4">
        <f t="shared" si="10"/>
        <v>10500</v>
      </c>
    </row>
    <row r="95" spans="1:10" x14ac:dyDescent="0.25">
      <c r="A95" s="3">
        <v>7</v>
      </c>
      <c r="B95" t="s">
        <v>90</v>
      </c>
      <c r="C95" s="3">
        <v>3</v>
      </c>
      <c r="D95" s="3">
        <v>6</v>
      </c>
      <c r="E95" s="3">
        <f t="shared" si="11"/>
        <v>9</v>
      </c>
      <c r="F95" s="4">
        <v>1500</v>
      </c>
      <c r="G95" s="4">
        <f t="shared" si="8"/>
        <v>13500</v>
      </c>
      <c r="H95" s="3">
        <v>7</v>
      </c>
      <c r="I95" s="4">
        <f t="shared" si="9"/>
        <v>1500</v>
      </c>
      <c r="J95" s="4">
        <f t="shared" si="10"/>
        <v>10500</v>
      </c>
    </row>
    <row r="96" spans="1:10" x14ac:dyDescent="0.25">
      <c r="A96" s="3">
        <v>8</v>
      </c>
      <c r="B96" t="s">
        <v>91</v>
      </c>
      <c r="C96" s="3">
        <v>1</v>
      </c>
      <c r="D96" s="3">
        <v>12</v>
      </c>
      <c r="E96" s="3">
        <f t="shared" si="11"/>
        <v>13</v>
      </c>
      <c r="F96" s="4">
        <v>3350</v>
      </c>
      <c r="G96" s="4">
        <f t="shared" si="8"/>
        <v>43550</v>
      </c>
      <c r="H96" s="3">
        <v>8</v>
      </c>
      <c r="I96" s="4">
        <f t="shared" si="9"/>
        <v>3350</v>
      </c>
      <c r="J96" s="4">
        <f t="shared" si="10"/>
        <v>26800</v>
      </c>
    </row>
    <row r="97" spans="1:10" x14ac:dyDescent="0.25">
      <c r="A97" s="3">
        <v>9</v>
      </c>
      <c r="B97" t="s">
        <v>92</v>
      </c>
      <c r="C97" s="3">
        <v>1.5</v>
      </c>
      <c r="D97" s="3">
        <v>1</v>
      </c>
      <c r="E97" s="3">
        <f t="shared" si="11"/>
        <v>2.5</v>
      </c>
      <c r="F97" s="4">
        <v>23000</v>
      </c>
      <c r="G97" s="4">
        <f t="shared" si="8"/>
        <v>57500</v>
      </c>
      <c r="H97" s="3">
        <v>1.5</v>
      </c>
      <c r="I97" s="4">
        <f t="shared" si="9"/>
        <v>23000</v>
      </c>
      <c r="J97" s="4">
        <f t="shared" si="10"/>
        <v>34500</v>
      </c>
    </row>
    <row r="98" spans="1:10" x14ac:dyDescent="0.25">
      <c r="A98" s="3">
        <v>10</v>
      </c>
      <c r="B98" t="s">
        <v>93</v>
      </c>
      <c r="C98" s="3">
        <v>9</v>
      </c>
      <c r="D98" s="3"/>
      <c r="E98" s="3">
        <f t="shared" si="11"/>
        <v>9</v>
      </c>
      <c r="F98" s="4">
        <v>9000</v>
      </c>
      <c r="G98" s="4">
        <f t="shared" si="8"/>
        <v>81000</v>
      </c>
      <c r="H98" s="3">
        <v>7</v>
      </c>
      <c r="I98" s="4">
        <f t="shared" si="9"/>
        <v>9000</v>
      </c>
      <c r="J98" s="4">
        <f t="shared" si="10"/>
        <v>63000</v>
      </c>
    </row>
    <row r="99" spans="1:10" x14ac:dyDescent="0.25">
      <c r="A99" s="3">
        <v>11</v>
      </c>
      <c r="B99" t="s">
        <v>94</v>
      </c>
      <c r="C99" s="3">
        <v>1</v>
      </c>
      <c r="D99" s="3"/>
      <c r="E99" s="3">
        <f t="shared" si="11"/>
        <v>1</v>
      </c>
      <c r="F99" s="4">
        <v>6000</v>
      </c>
      <c r="G99" s="4">
        <f t="shared" si="8"/>
        <v>6000</v>
      </c>
      <c r="H99" s="3">
        <v>0.5</v>
      </c>
      <c r="I99" s="4">
        <f t="shared" si="9"/>
        <v>6000</v>
      </c>
      <c r="J99" s="4">
        <f t="shared" si="10"/>
        <v>3000</v>
      </c>
    </row>
    <row r="100" spans="1:10" x14ac:dyDescent="0.25">
      <c r="A100" s="3">
        <v>12</v>
      </c>
      <c r="B100" t="s">
        <v>95</v>
      </c>
      <c r="C100" s="3"/>
      <c r="D100" s="3"/>
      <c r="E100" s="3">
        <f t="shared" si="11"/>
        <v>0</v>
      </c>
      <c r="F100" s="4">
        <v>8000</v>
      </c>
      <c r="G100" s="4">
        <f t="shared" si="8"/>
        <v>0</v>
      </c>
      <c r="H100" s="3"/>
      <c r="I100" s="4">
        <f t="shared" si="9"/>
        <v>8000</v>
      </c>
      <c r="J100" s="4">
        <f t="shared" si="10"/>
        <v>0</v>
      </c>
    </row>
    <row r="101" spans="1:10" x14ac:dyDescent="0.25">
      <c r="A101" s="3">
        <v>13</v>
      </c>
      <c r="B101" t="s">
        <v>96</v>
      </c>
      <c r="C101" s="3">
        <v>1</v>
      </c>
      <c r="D101" s="3">
        <v>10</v>
      </c>
      <c r="E101" s="3">
        <f t="shared" si="11"/>
        <v>11</v>
      </c>
      <c r="F101" s="4">
        <v>3300</v>
      </c>
      <c r="G101" s="4">
        <f t="shared" si="8"/>
        <v>36300</v>
      </c>
      <c r="H101" s="3">
        <v>5</v>
      </c>
      <c r="I101" s="4">
        <f t="shared" si="9"/>
        <v>3300</v>
      </c>
      <c r="J101" s="4">
        <f t="shared" si="10"/>
        <v>16500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>
        <v>1</v>
      </c>
      <c r="E107" s="3">
        <f t="shared" si="11"/>
        <v>1</v>
      </c>
      <c r="F107" s="4"/>
      <c r="G107" s="4">
        <f t="shared" si="8"/>
        <v>0</v>
      </c>
      <c r="H107" s="3"/>
      <c r="I107" s="4">
        <f t="shared" si="9"/>
        <v>0</v>
      </c>
      <c r="J107" s="4">
        <f t="shared" si="10"/>
        <v>0</v>
      </c>
    </row>
    <row r="108" spans="1:10" x14ac:dyDescent="0.25">
      <c r="A108" s="3">
        <v>20</v>
      </c>
      <c r="B108" t="s">
        <v>103</v>
      </c>
      <c r="C108" s="3">
        <v>1</v>
      </c>
      <c r="D108" s="3"/>
      <c r="E108" s="3">
        <f t="shared" si="11"/>
        <v>1</v>
      </c>
      <c r="F108" s="4">
        <v>6000</v>
      </c>
      <c r="G108" s="4">
        <f t="shared" si="8"/>
        <v>6000</v>
      </c>
      <c r="H108" s="3"/>
      <c r="I108" s="4">
        <f t="shared" si="9"/>
        <v>6000</v>
      </c>
      <c r="J108" s="4">
        <f t="shared" si="10"/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>
        <v>1</v>
      </c>
      <c r="D110" s="3">
        <v>3</v>
      </c>
      <c r="E110" s="3">
        <f t="shared" si="11"/>
        <v>4</v>
      </c>
      <c r="F110" s="4"/>
      <c r="G110" s="4">
        <f t="shared" si="8"/>
        <v>0</v>
      </c>
      <c r="H110" s="3">
        <v>1</v>
      </c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1</v>
      </c>
      <c r="D111" s="3">
        <v>10</v>
      </c>
      <c r="E111" s="3">
        <f t="shared" si="11"/>
        <v>11</v>
      </c>
      <c r="F111" s="4">
        <v>4000</v>
      </c>
      <c r="G111" s="4">
        <f t="shared" si="8"/>
        <v>44000</v>
      </c>
      <c r="H111" s="3">
        <v>5</v>
      </c>
      <c r="I111" s="4">
        <f t="shared" si="9"/>
        <v>4000</v>
      </c>
      <c r="J111" s="4">
        <f t="shared" si="10"/>
        <v>20000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619700</v>
      </c>
      <c r="H121" s="5"/>
      <c r="I121" s="5"/>
      <c r="J121" s="5">
        <f>SUM(J89:J120)</f>
        <v>371010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1120110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F43A-05F9-40DB-8CD5-BC849649C66F}">
  <dimension ref="A1:J268"/>
  <sheetViews>
    <sheetView topLeftCell="A52" workbookViewId="0">
      <selection activeCell="H64" sqref="H64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0.5</v>
      </c>
      <c r="E3" s="3">
        <f t="shared" ref="E3:E66" si="0">C3+D3</f>
        <v>0.5</v>
      </c>
      <c r="F3" s="4">
        <v>36000</v>
      </c>
      <c r="G3" s="4">
        <f>F3*E3</f>
        <v>18000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>
        <v>0.5</v>
      </c>
      <c r="D4" s="3">
        <v>0.25</v>
      </c>
      <c r="E4" s="3">
        <f t="shared" si="0"/>
        <v>0.75</v>
      </c>
      <c r="F4" s="4">
        <v>36000</v>
      </c>
      <c r="G4" s="4">
        <f t="shared" ref="G4:G73" si="1">F4*E4</f>
        <v>27000</v>
      </c>
      <c r="H4" s="3">
        <v>0.2</v>
      </c>
      <c r="I4" s="4">
        <f t="shared" ref="I4:I73" si="2">F4</f>
        <v>36000</v>
      </c>
      <c r="J4" s="4">
        <f t="shared" ref="J4:J68" si="3">I4*H4</f>
        <v>7200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>
        <v>0.25</v>
      </c>
      <c r="E6" s="3">
        <f t="shared" si="0"/>
        <v>0.25</v>
      </c>
      <c r="F6" s="4">
        <v>60000</v>
      </c>
      <c r="G6" s="4">
        <f t="shared" si="1"/>
        <v>15000</v>
      </c>
      <c r="H6" s="3"/>
      <c r="I6" s="4">
        <f t="shared" si="2"/>
        <v>60000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>
        <v>0.25</v>
      </c>
      <c r="D7" s="3">
        <v>1</v>
      </c>
      <c r="E7" s="3">
        <f t="shared" si="0"/>
        <v>1.25</v>
      </c>
      <c r="F7" s="4">
        <v>40000</v>
      </c>
      <c r="G7" s="4">
        <f t="shared" si="1"/>
        <v>50000</v>
      </c>
      <c r="H7" s="3">
        <v>0.24</v>
      </c>
      <c r="I7" s="4">
        <f t="shared" si="2"/>
        <v>40000</v>
      </c>
      <c r="J7" s="4">
        <f t="shared" si="3"/>
        <v>9600</v>
      </c>
    </row>
    <row r="8" spans="1:10" x14ac:dyDescent="0.25">
      <c r="A8" s="3">
        <v>6</v>
      </c>
      <c r="B8" t="s">
        <v>14</v>
      </c>
      <c r="C8" s="3">
        <v>0.25</v>
      </c>
      <c r="D8" s="3">
        <v>0.5</v>
      </c>
      <c r="E8" s="3">
        <f t="shared" si="0"/>
        <v>0.75</v>
      </c>
      <c r="F8" s="4">
        <v>50000</v>
      </c>
      <c r="G8" s="4">
        <f t="shared" si="1"/>
        <v>37500</v>
      </c>
      <c r="H8" s="3">
        <v>0.25</v>
      </c>
      <c r="I8" s="4">
        <f t="shared" si="2"/>
        <v>50000</v>
      </c>
      <c r="J8" s="4">
        <f t="shared" si="3"/>
        <v>12500</v>
      </c>
    </row>
    <row r="9" spans="1:10" x14ac:dyDescent="0.25">
      <c r="A9" s="3">
        <v>7</v>
      </c>
      <c r="B9" t="s">
        <v>15</v>
      </c>
      <c r="C9" s="3"/>
      <c r="D9" s="3"/>
      <c r="E9" s="3">
        <f t="shared" si="0"/>
        <v>0</v>
      </c>
      <c r="F9" s="4">
        <v>13000</v>
      </c>
      <c r="G9" s="4">
        <f t="shared" si="1"/>
        <v>0</v>
      </c>
      <c r="H9" s="3"/>
      <c r="I9" s="4">
        <f t="shared" si="2"/>
        <v>13000</v>
      </c>
      <c r="J9" s="4">
        <f t="shared" si="3"/>
        <v>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>
        <v>1</v>
      </c>
      <c r="E17" s="3">
        <f t="shared" si="0"/>
        <v>1</v>
      </c>
      <c r="F17" s="4">
        <v>16000</v>
      </c>
      <c r="G17" s="4">
        <f t="shared" si="1"/>
        <v>16000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/>
      <c r="E19" s="3">
        <f t="shared" si="0"/>
        <v>0</v>
      </c>
      <c r="F19" s="4">
        <v>20000</v>
      </c>
      <c r="G19" s="4">
        <f t="shared" si="1"/>
        <v>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>
        <v>2</v>
      </c>
      <c r="D20" s="3"/>
      <c r="E20" s="3">
        <f t="shared" si="0"/>
        <v>2</v>
      </c>
      <c r="F20" s="4">
        <v>11000</v>
      </c>
      <c r="G20" s="4">
        <f t="shared" si="1"/>
        <v>22000</v>
      </c>
      <c r="H20" s="3">
        <v>0.5</v>
      </c>
      <c r="I20" s="4">
        <f t="shared" si="2"/>
        <v>11000</v>
      </c>
      <c r="J20" s="4">
        <f t="shared" si="3"/>
        <v>5500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0.44</v>
      </c>
      <c r="D22" s="3"/>
      <c r="E22" s="3">
        <f t="shared" si="0"/>
        <v>0.44</v>
      </c>
      <c r="F22" s="4">
        <v>15000</v>
      </c>
      <c r="G22" s="4">
        <f t="shared" si="1"/>
        <v>6600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1.5</v>
      </c>
      <c r="D23" s="3">
        <v>3.5</v>
      </c>
      <c r="E23" s="3">
        <f t="shared" si="0"/>
        <v>5</v>
      </c>
      <c r="F23" s="4">
        <v>8000</v>
      </c>
      <c r="G23" s="4">
        <f>F23*E23</f>
        <v>40000</v>
      </c>
      <c r="H23" s="3">
        <v>3.5</v>
      </c>
      <c r="I23" s="4">
        <f t="shared" si="2"/>
        <v>8000</v>
      </c>
      <c r="J23" s="4">
        <f t="shared" si="3"/>
        <v>28000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1</v>
      </c>
      <c r="D26" s="3"/>
      <c r="E26" s="3">
        <f t="shared" si="0"/>
        <v>1</v>
      </c>
      <c r="F26" s="4">
        <v>11500</v>
      </c>
      <c r="G26" s="4">
        <f t="shared" si="1"/>
        <v>11500</v>
      </c>
      <c r="H26" s="3">
        <v>0.25</v>
      </c>
      <c r="I26" s="4">
        <f t="shared" si="2"/>
        <v>11500</v>
      </c>
      <c r="J26" s="4">
        <f t="shared" si="3"/>
        <v>2875</v>
      </c>
    </row>
    <row r="27" spans="1:10" x14ac:dyDescent="0.25">
      <c r="A27" s="3">
        <v>25</v>
      </c>
      <c r="B27" t="s">
        <v>32</v>
      </c>
      <c r="C27" s="3">
        <v>1</v>
      </c>
      <c r="D27" s="3"/>
      <c r="E27" s="3">
        <f t="shared" si="0"/>
        <v>1</v>
      </c>
      <c r="F27" s="4">
        <v>8500</v>
      </c>
      <c r="G27" s="4">
        <f t="shared" si="1"/>
        <v>8500</v>
      </c>
      <c r="H27" s="3">
        <v>1</v>
      </c>
      <c r="I27" s="4">
        <f t="shared" si="2"/>
        <v>8500</v>
      </c>
      <c r="J27" s="4">
        <f t="shared" si="3"/>
        <v>8500</v>
      </c>
    </row>
    <row r="28" spans="1:10" x14ac:dyDescent="0.25">
      <c r="A28" s="3">
        <v>26</v>
      </c>
      <c r="B28" t="s">
        <v>33</v>
      </c>
      <c r="C28" s="3"/>
      <c r="D28" s="3">
        <v>3</v>
      </c>
      <c r="E28" s="3">
        <f t="shared" si="0"/>
        <v>3</v>
      </c>
      <c r="F28" s="4">
        <v>3750</v>
      </c>
      <c r="G28" s="4">
        <f t="shared" si="1"/>
        <v>11250</v>
      </c>
      <c r="H28" s="3">
        <v>2</v>
      </c>
      <c r="I28" s="4">
        <f t="shared" si="2"/>
        <v>3750</v>
      </c>
      <c r="J28" s="4">
        <f t="shared" si="3"/>
        <v>7500</v>
      </c>
    </row>
    <row r="29" spans="1:10" x14ac:dyDescent="0.25">
      <c r="A29" s="3">
        <v>27</v>
      </c>
      <c r="B29" t="s">
        <v>34</v>
      </c>
      <c r="C29" s="3"/>
      <c r="D29" s="3"/>
      <c r="E29" s="3">
        <f t="shared" si="0"/>
        <v>0</v>
      </c>
      <c r="F29" s="4">
        <v>24000</v>
      </c>
      <c r="G29" s="4">
        <f t="shared" si="1"/>
        <v>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0.25</v>
      </c>
      <c r="D33" s="3"/>
      <c r="E33" s="3">
        <f t="shared" si="0"/>
        <v>0.25</v>
      </c>
      <c r="F33" s="4">
        <v>56000</v>
      </c>
      <c r="G33" s="4">
        <f t="shared" si="1"/>
        <v>14000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>
        <v>7</v>
      </c>
      <c r="D34" s="3"/>
      <c r="E34" s="3">
        <f t="shared" si="0"/>
        <v>7</v>
      </c>
      <c r="F34" s="4">
        <v>17500</v>
      </c>
      <c r="G34" s="4">
        <f t="shared" si="1"/>
        <v>122500</v>
      </c>
      <c r="H34" s="3">
        <v>2</v>
      </c>
      <c r="I34" s="4">
        <f t="shared" si="2"/>
        <v>17500</v>
      </c>
      <c r="J34" s="4">
        <f t="shared" si="3"/>
        <v>35000</v>
      </c>
    </row>
    <row r="35" spans="1:10" x14ac:dyDescent="0.25">
      <c r="A35" s="3">
        <v>33</v>
      </c>
      <c r="B35" t="s">
        <v>40</v>
      </c>
      <c r="C35" s="3">
        <v>2</v>
      </c>
      <c r="D35" s="3"/>
      <c r="E35" s="3">
        <f t="shared" si="0"/>
        <v>2</v>
      </c>
      <c r="F35" s="4">
        <v>3000</v>
      </c>
      <c r="G35" s="4">
        <f t="shared" si="1"/>
        <v>6000</v>
      </c>
      <c r="H35" s="3">
        <v>1.5</v>
      </c>
      <c r="I35" s="4">
        <f t="shared" si="2"/>
        <v>3000</v>
      </c>
      <c r="J35" s="4">
        <f t="shared" si="3"/>
        <v>4500</v>
      </c>
    </row>
    <row r="36" spans="1:10" x14ac:dyDescent="0.25">
      <c r="A36" s="3">
        <v>34</v>
      </c>
      <c r="B36" t="s">
        <v>41</v>
      </c>
      <c r="C36" s="3">
        <v>1</v>
      </c>
      <c r="D36" s="3"/>
      <c r="E36" s="3">
        <f t="shared" si="0"/>
        <v>1</v>
      </c>
      <c r="F36" s="4">
        <v>11000</v>
      </c>
      <c r="G36" s="4">
        <f t="shared" si="1"/>
        <v>11000</v>
      </c>
      <c r="H36" s="3">
        <v>1</v>
      </c>
      <c r="I36" s="4">
        <f t="shared" si="2"/>
        <v>11000</v>
      </c>
      <c r="J36" s="4">
        <f t="shared" si="3"/>
        <v>11000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1</v>
      </c>
      <c r="E41" s="3">
        <f t="shared" si="0"/>
        <v>3</v>
      </c>
      <c r="F41" s="4">
        <v>83000</v>
      </c>
      <c r="G41" s="4">
        <f t="shared" si="1"/>
        <v>249000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/>
      <c r="D42" s="3"/>
      <c r="E42" s="3">
        <f t="shared" si="0"/>
        <v>0</v>
      </c>
      <c r="F42" s="4">
        <v>21000</v>
      </c>
      <c r="G42" s="4">
        <f t="shared" si="1"/>
        <v>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/>
      <c r="D43" s="3">
        <v>15</v>
      </c>
      <c r="E43" s="3">
        <f t="shared" si="0"/>
        <v>15</v>
      </c>
      <c r="F43" s="4">
        <v>25000</v>
      </c>
      <c r="G43" s="4">
        <f t="shared" si="1"/>
        <v>375000</v>
      </c>
      <c r="H43" s="3">
        <v>12</v>
      </c>
      <c r="I43" s="4">
        <f t="shared" si="2"/>
        <v>25000</v>
      </c>
      <c r="J43" s="4">
        <f t="shared" si="3"/>
        <v>300000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>
        <v>3</v>
      </c>
      <c r="E45" s="3">
        <f t="shared" si="0"/>
        <v>5</v>
      </c>
      <c r="F45" s="4">
        <v>15500</v>
      </c>
      <c r="G45" s="4">
        <f t="shared" si="1"/>
        <v>77500</v>
      </c>
      <c r="H45" s="3">
        <v>3</v>
      </c>
      <c r="I45" s="4">
        <f t="shared" si="2"/>
        <v>15500</v>
      </c>
      <c r="J45" s="4">
        <f t="shared" si="3"/>
        <v>46500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8</v>
      </c>
      <c r="D49" s="3">
        <v>20</v>
      </c>
      <c r="E49" s="3">
        <f t="shared" si="0"/>
        <v>28</v>
      </c>
      <c r="F49" s="4">
        <v>6000</v>
      </c>
      <c r="G49" s="4">
        <f t="shared" si="1"/>
        <v>168000</v>
      </c>
      <c r="H49" s="3">
        <v>22</v>
      </c>
      <c r="I49" s="4">
        <f t="shared" si="2"/>
        <v>6000</v>
      </c>
      <c r="J49" s="4">
        <f t="shared" si="3"/>
        <v>132000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0.25</v>
      </c>
      <c r="D51" s="3">
        <v>2</v>
      </c>
      <c r="E51" s="3">
        <f t="shared" si="0"/>
        <v>2.25</v>
      </c>
      <c r="F51" s="4">
        <v>12000</v>
      </c>
      <c r="G51" s="4">
        <f>F51*E51</f>
        <v>27000</v>
      </c>
      <c r="H51" s="3">
        <v>0.25</v>
      </c>
      <c r="I51" s="4">
        <f t="shared" si="2"/>
        <v>12000</v>
      </c>
      <c r="J51" s="4">
        <f t="shared" si="3"/>
        <v>3000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>
        <v>21</v>
      </c>
      <c r="E61" s="3">
        <f t="shared" si="0"/>
        <v>21</v>
      </c>
      <c r="F61" s="4">
        <v>5250</v>
      </c>
      <c r="G61" s="4">
        <f t="shared" si="1"/>
        <v>110250</v>
      </c>
      <c r="H61" s="3">
        <v>2</v>
      </c>
      <c r="I61" s="4">
        <f t="shared" si="2"/>
        <v>5250</v>
      </c>
      <c r="J61" s="4">
        <f t="shared" si="3"/>
        <v>10500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/>
      <c r="D64" s="3"/>
      <c r="E64" s="3">
        <f t="shared" si="0"/>
        <v>0</v>
      </c>
      <c r="F64" s="4">
        <v>4625</v>
      </c>
      <c r="G64" s="4">
        <f t="shared" si="1"/>
        <v>0</v>
      </c>
      <c r="H64" s="3"/>
      <c r="I64" s="4">
        <f t="shared" si="2"/>
        <v>4625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>
        <v>6.25</v>
      </c>
      <c r="D65" s="3"/>
      <c r="E65" s="3">
        <f t="shared" si="0"/>
        <v>6.25</v>
      </c>
      <c r="F65" s="4">
        <v>21000</v>
      </c>
      <c r="G65" s="4">
        <f t="shared" si="1"/>
        <v>131250</v>
      </c>
      <c r="H65" s="3">
        <v>3</v>
      </c>
      <c r="I65" s="4">
        <f t="shared" si="2"/>
        <v>21000</v>
      </c>
      <c r="J65" s="4">
        <f t="shared" si="3"/>
        <v>63000</v>
      </c>
    </row>
    <row r="66" spans="1:10" x14ac:dyDescent="0.25">
      <c r="A66" s="3">
        <v>64</v>
      </c>
      <c r="B66" t="s">
        <v>115</v>
      </c>
      <c r="C66" s="3"/>
      <c r="D66" s="3">
        <v>1</v>
      </c>
      <c r="E66" s="3">
        <f t="shared" si="0"/>
        <v>1</v>
      </c>
      <c r="F66" s="4">
        <v>100000</v>
      </c>
      <c r="G66" s="4">
        <f t="shared" si="1"/>
        <v>100000</v>
      </c>
      <c r="H66" s="3">
        <v>0.4</v>
      </c>
      <c r="I66" s="4">
        <f t="shared" si="2"/>
        <v>100000</v>
      </c>
      <c r="J66" s="4">
        <f t="shared" si="3"/>
        <v>40000</v>
      </c>
    </row>
    <row r="67" spans="1:10" x14ac:dyDescent="0.25">
      <c r="A67" s="3">
        <v>65</v>
      </c>
      <c r="B67" t="s">
        <v>71</v>
      </c>
      <c r="C67" s="3">
        <v>0.5</v>
      </c>
      <c r="D67" s="3">
        <v>2</v>
      </c>
      <c r="E67" s="3">
        <f t="shared" ref="E67:E83" si="4">C67+D67</f>
        <v>2.5</v>
      </c>
      <c r="F67" s="4">
        <v>17500</v>
      </c>
      <c r="G67" s="4">
        <f t="shared" si="1"/>
        <v>43750</v>
      </c>
      <c r="H67" s="3">
        <v>1.25</v>
      </c>
      <c r="I67" s="4">
        <f t="shared" si="2"/>
        <v>17500</v>
      </c>
      <c r="J67" s="4">
        <f t="shared" si="3"/>
        <v>21875</v>
      </c>
    </row>
    <row r="68" spans="1:10" x14ac:dyDescent="0.25">
      <c r="A68" s="3">
        <v>66</v>
      </c>
      <c r="B68" t="s">
        <v>72</v>
      </c>
      <c r="C68" s="3">
        <v>7.5</v>
      </c>
      <c r="D68" s="3"/>
      <c r="E68" s="3">
        <f t="shared" si="4"/>
        <v>7.5</v>
      </c>
      <c r="F68" s="4">
        <v>8000</v>
      </c>
      <c r="G68" s="4">
        <f t="shared" si="1"/>
        <v>60000</v>
      </c>
      <c r="H68" s="3">
        <v>4.5</v>
      </c>
      <c r="I68" s="4">
        <f t="shared" si="2"/>
        <v>8000</v>
      </c>
      <c r="J68" s="4">
        <f t="shared" si="3"/>
        <v>36000</v>
      </c>
    </row>
    <row r="69" spans="1:10" x14ac:dyDescent="0.25">
      <c r="A69" s="3">
        <v>67</v>
      </c>
      <c r="B69" t="s">
        <v>73</v>
      </c>
      <c r="C69" s="3"/>
      <c r="D69" s="3"/>
      <c r="E69" s="3">
        <f t="shared" si="4"/>
        <v>0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1</v>
      </c>
      <c r="D70" s="3">
        <v>1</v>
      </c>
      <c r="E70" s="3">
        <f t="shared" si="4"/>
        <v>2</v>
      </c>
      <c r="F70" s="4">
        <v>24000</v>
      </c>
      <c r="G70" s="4">
        <f t="shared" si="1"/>
        <v>48000</v>
      </c>
      <c r="H70" s="3">
        <v>1.5</v>
      </c>
      <c r="I70" s="4">
        <f t="shared" si="2"/>
        <v>24000</v>
      </c>
      <c r="J70" s="4">
        <f t="shared" si="5"/>
        <v>36000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1.5</v>
      </c>
      <c r="D72" s="3"/>
      <c r="E72" s="3">
        <f t="shared" si="4"/>
        <v>1.5</v>
      </c>
      <c r="F72" s="4">
        <v>15000</v>
      </c>
      <c r="G72" s="4">
        <f>F72*E72</f>
        <v>22500</v>
      </c>
      <c r="H72" s="3">
        <v>0.5</v>
      </c>
      <c r="I72" s="4">
        <f t="shared" si="2"/>
        <v>15000</v>
      </c>
      <c r="J72" s="4">
        <f t="shared" si="5"/>
        <v>7500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27</v>
      </c>
      <c r="D74" s="3"/>
      <c r="E74" s="3">
        <f t="shared" si="4"/>
        <v>27</v>
      </c>
      <c r="F74" s="4"/>
      <c r="G74" s="4">
        <f t="shared" ref="G74:G83" si="6">F74*E74</f>
        <v>0</v>
      </c>
      <c r="H74" s="3">
        <v>27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4</v>
      </c>
      <c r="D75" s="3"/>
      <c r="E75" s="3">
        <f t="shared" si="4"/>
        <v>4</v>
      </c>
      <c r="F75" s="4"/>
      <c r="G75" s="4">
        <f t="shared" si="6"/>
        <v>0</v>
      </c>
      <c r="H75" s="3">
        <v>4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15</v>
      </c>
      <c r="D76" s="3"/>
      <c r="E76" s="3">
        <f t="shared" si="4"/>
        <v>15</v>
      </c>
      <c r="F76" s="4"/>
      <c r="G76" s="4">
        <f t="shared" si="6"/>
        <v>0</v>
      </c>
      <c r="H76" s="3">
        <v>12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1829100</v>
      </c>
      <c r="H85" s="5"/>
      <c r="I85" s="5"/>
      <c r="J85" s="5">
        <f>SUM(J3:J84)</f>
        <v>939550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29</v>
      </c>
      <c r="D89" s="3"/>
      <c r="E89" s="3">
        <f>C89+D89</f>
        <v>29</v>
      </c>
      <c r="F89" s="4">
        <v>1240</v>
      </c>
      <c r="G89" s="4">
        <f>F89*E89</f>
        <v>35960</v>
      </c>
      <c r="H89" s="3">
        <v>29</v>
      </c>
      <c r="I89" s="4">
        <f>F89</f>
        <v>1240</v>
      </c>
      <c r="J89" s="4">
        <f>I89*H89</f>
        <v>35960</v>
      </c>
    </row>
    <row r="90" spans="1:10" x14ac:dyDescent="0.25">
      <c r="A90" s="3">
        <v>2</v>
      </c>
      <c r="B90" t="s">
        <v>85</v>
      </c>
      <c r="C90" s="3">
        <v>44</v>
      </c>
      <c r="D90" s="3"/>
      <c r="E90" s="3">
        <f>C90+D90</f>
        <v>44</v>
      </c>
      <c r="F90" s="4">
        <v>1000</v>
      </c>
      <c r="G90" s="4">
        <f t="shared" ref="G90:G120" si="8">F90*E90</f>
        <v>44000</v>
      </c>
      <c r="H90" s="3">
        <v>35</v>
      </c>
      <c r="I90" s="4">
        <f t="shared" ref="I90:I120" si="9">F90</f>
        <v>1000</v>
      </c>
      <c r="J90" s="4">
        <f t="shared" ref="J90:J120" si="10">I90*H90</f>
        <v>35000</v>
      </c>
    </row>
    <row r="91" spans="1:10" x14ac:dyDescent="0.25">
      <c r="A91" s="3">
        <v>3</v>
      </c>
      <c r="B91" t="s">
        <v>86</v>
      </c>
      <c r="C91" s="3">
        <v>20</v>
      </c>
      <c r="D91" s="3"/>
      <c r="E91" s="3">
        <f t="shared" ref="E91:E120" si="11">C91+D91</f>
        <v>20</v>
      </c>
      <c r="F91" s="4">
        <v>1650</v>
      </c>
      <c r="G91" s="4">
        <f t="shared" si="8"/>
        <v>33000</v>
      </c>
      <c r="H91" s="3">
        <v>9</v>
      </c>
      <c r="I91" s="4">
        <f t="shared" si="9"/>
        <v>1650</v>
      </c>
      <c r="J91" s="4">
        <f t="shared" si="10"/>
        <v>14850</v>
      </c>
    </row>
    <row r="92" spans="1:10" x14ac:dyDescent="0.25">
      <c r="A92" s="3">
        <v>4</v>
      </c>
      <c r="B92" t="s">
        <v>87</v>
      </c>
      <c r="C92" s="3">
        <v>10</v>
      </c>
      <c r="D92" s="3"/>
      <c r="E92" s="3">
        <f t="shared" si="11"/>
        <v>10</v>
      </c>
      <c r="F92" s="4">
        <v>1650</v>
      </c>
      <c r="G92" s="4">
        <f t="shared" si="8"/>
        <v>16500</v>
      </c>
      <c r="H92" s="3">
        <v>5</v>
      </c>
      <c r="I92" s="4">
        <f t="shared" si="9"/>
        <v>1650</v>
      </c>
      <c r="J92" s="4">
        <f t="shared" si="10"/>
        <v>8250</v>
      </c>
    </row>
    <row r="93" spans="1:10" x14ac:dyDescent="0.25">
      <c r="A93" s="3">
        <v>5</v>
      </c>
      <c r="B93" t="s">
        <v>88</v>
      </c>
      <c r="C93" s="3">
        <v>5</v>
      </c>
      <c r="D93" s="3"/>
      <c r="E93" s="3">
        <f t="shared" si="11"/>
        <v>5</v>
      </c>
      <c r="F93" s="4">
        <v>1750</v>
      </c>
      <c r="G93" s="4">
        <f t="shared" si="8"/>
        <v>8750</v>
      </c>
      <c r="H93" s="3">
        <v>5</v>
      </c>
      <c r="I93" s="4">
        <f t="shared" si="9"/>
        <v>1750</v>
      </c>
      <c r="J93" s="4">
        <f t="shared" si="10"/>
        <v>8750</v>
      </c>
    </row>
    <row r="94" spans="1:10" x14ac:dyDescent="0.25">
      <c r="A94" s="3">
        <v>6</v>
      </c>
      <c r="B94" t="s">
        <v>89</v>
      </c>
      <c r="C94" s="3">
        <v>7</v>
      </c>
      <c r="D94" s="3">
        <v>12</v>
      </c>
      <c r="E94" s="3">
        <f t="shared" si="11"/>
        <v>19</v>
      </c>
      <c r="F94" s="4">
        <v>1500</v>
      </c>
      <c r="G94" s="4">
        <f t="shared" si="8"/>
        <v>28500</v>
      </c>
      <c r="H94" s="3">
        <v>13</v>
      </c>
      <c r="I94" s="4">
        <f t="shared" si="9"/>
        <v>1500</v>
      </c>
      <c r="J94" s="4">
        <f t="shared" si="10"/>
        <v>19500</v>
      </c>
    </row>
    <row r="95" spans="1:10" x14ac:dyDescent="0.25">
      <c r="A95" s="3">
        <v>7</v>
      </c>
      <c r="B95" t="s">
        <v>90</v>
      </c>
      <c r="C95" s="3">
        <v>7</v>
      </c>
      <c r="D95" s="3"/>
      <c r="E95" s="3">
        <f t="shared" si="11"/>
        <v>7</v>
      </c>
      <c r="F95" s="4">
        <v>1500</v>
      </c>
      <c r="G95" s="4">
        <f t="shared" si="8"/>
        <v>10500</v>
      </c>
      <c r="H95" s="3">
        <v>5</v>
      </c>
      <c r="I95" s="4">
        <f t="shared" si="9"/>
        <v>1500</v>
      </c>
      <c r="J95" s="4">
        <f t="shared" si="10"/>
        <v>7500</v>
      </c>
    </row>
    <row r="96" spans="1:10" x14ac:dyDescent="0.25">
      <c r="A96" s="3">
        <v>8</v>
      </c>
      <c r="B96" t="s">
        <v>91</v>
      </c>
      <c r="C96" s="3">
        <v>8</v>
      </c>
      <c r="D96" s="3"/>
      <c r="E96" s="3">
        <f t="shared" si="11"/>
        <v>8</v>
      </c>
      <c r="F96" s="4">
        <v>3350</v>
      </c>
      <c r="G96" s="4">
        <f t="shared" si="8"/>
        <v>26800</v>
      </c>
      <c r="H96" s="3">
        <v>6</v>
      </c>
      <c r="I96" s="4">
        <f t="shared" si="9"/>
        <v>3350</v>
      </c>
      <c r="J96" s="4">
        <f t="shared" si="10"/>
        <v>20100</v>
      </c>
    </row>
    <row r="97" spans="1:10" x14ac:dyDescent="0.25">
      <c r="A97" s="3">
        <v>9</v>
      </c>
      <c r="B97" t="s">
        <v>92</v>
      </c>
      <c r="C97" s="3">
        <v>1.5</v>
      </c>
      <c r="D97" s="3"/>
      <c r="E97" s="3">
        <f t="shared" si="11"/>
        <v>1.5</v>
      </c>
      <c r="F97" s="4">
        <v>23000</v>
      </c>
      <c r="G97" s="4">
        <f t="shared" si="8"/>
        <v>34500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7</v>
      </c>
      <c r="D98" s="3"/>
      <c r="E98" s="3">
        <f t="shared" si="11"/>
        <v>7</v>
      </c>
      <c r="F98" s="4">
        <v>9000</v>
      </c>
      <c r="G98" s="4">
        <f t="shared" si="8"/>
        <v>63000</v>
      </c>
      <c r="H98" s="3">
        <v>5</v>
      </c>
      <c r="I98" s="4">
        <f t="shared" si="9"/>
        <v>9000</v>
      </c>
      <c r="J98" s="4">
        <f t="shared" si="10"/>
        <v>45000</v>
      </c>
    </row>
    <row r="99" spans="1:10" x14ac:dyDescent="0.25">
      <c r="A99" s="3">
        <v>11</v>
      </c>
      <c r="B99" t="s">
        <v>94</v>
      </c>
      <c r="C99" s="3">
        <v>1.5</v>
      </c>
      <c r="D99" s="3"/>
      <c r="E99" s="3">
        <f t="shared" si="11"/>
        <v>1.5</v>
      </c>
      <c r="F99" s="4">
        <v>6000</v>
      </c>
      <c r="G99" s="4">
        <f t="shared" si="8"/>
        <v>9000</v>
      </c>
      <c r="H99" s="3">
        <v>0.5</v>
      </c>
      <c r="I99" s="4">
        <f t="shared" si="9"/>
        <v>6000</v>
      </c>
      <c r="J99" s="4">
        <f t="shared" si="10"/>
        <v>3000</v>
      </c>
    </row>
    <row r="100" spans="1:10" x14ac:dyDescent="0.25">
      <c r="A100" s="3">
        <v>12</v>
      </c>
      <c r="B100" t="s">
        <v>95</v>
      </c>
      <c r="C100" s="3"/>
      <c r="D100" s="3"/>
      <c r="E100" s="3">
        <f t="shared" si="11"/>
        <v>0</v>
      </c>
      <c r="F100" s="4">
        <v>8000</v>
      </c>
      <c r="G100" s="4">
        <f t="shared" si="8"/>
        <v>0</v>
      </c>
      <c r="H100" s="3"/>
      <c r="I100" s="4">
        <f t="shared" si="9"/>
        <v>8000</v>
      </c>
      <c r="J100" s="4">
        <f t="shared" si="10"/>
        <v>0</v>
      </c>
    </row>
    <row r="101" spans="1:10" x14ac:dyDescent="0.25">
      <c r="A101" s="3">
        <v>13</v>
      </c>
      <c r="B101" t="s">
        <v>96</v>
      </c>
      <c r="C101" s="3">
        <v>5</v>
      </c>
      <c r="D101" s="3"/>
      <c r="E101" s="3">
        <f t="shared" si="11"/>
        <v>5</v>
      </c>
      <c r="F101" s="4">
        <v>3300</v>
      </c>
      <c r="G101" s="4">
        <f t="shared" si="8"/>
        <v>16500</v>
      </c>
      <c r="H101" s="3"/>
      <c r="I101" s="4">
        <f t="shared" si="9"/>
        <v>3300</v>
      </c>
      <c r="J101" s="4">
        <f t="shared" si="10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 t="shared" si="10"/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 t="shared" si="10"/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>
        <v>1</v>
      </c>
      <c r="D110" s="3">
        <v>2</v>
      </c>
      <c r="E110" s="3">
        <f t="shared" si="11"/>
        <v>3</v>
      </c>
      <c r="F110" s="4"/>
      <c r="G110" s="4">
        <f t="shared" si="8"/>
        <v>0</v>
      </c>
      <c r="H110" s="3">
        <v>2</v>
      </c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5</v>
      </c>
      <c r="D111" s="3"/>
      <c r="E111" s="3">
        <f t="shared" si="11"/>
        <v>5</v>
      </c>
      <c r="F111" s="4">
        <v>4000</v>
      </c>
      <c r="G111" s="4">
        <f t="shared" si="8"/>
        <v>20000</v>
      </c>
      <c r="H111" s="3">
        <v>1.5</v>
      </c>
      <c r="I111" s="4">
        <f t="shared" si="9"/>
        <v>4000</v>
      </c>
      <c r="J111" s="4">
        <f t="shared" si="10"/>
        <v>6000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491010</v>
      </c>
      <c r="H121" s="5"/>
      <c r="I121" s="5"/>
      <c r="J121" s="5">
        <f>SUM(J89:J120)</f>
        <v>274910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1214460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7AF6-5F1C-477E-8868-CF56DD3A3DEB}">
  <dimension ref="A1:J268"/>
  <sheetViews>
    <sheetView workbookViewId="0">
      <selection activeCell="D15" sqref="D15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0.5</v>
      </c>
      <c r="E3" s="3">
        <f t="shared" ref="E3:E66" si="0">C3+D3</f>
        <v>0.5</v>
      </c>
      <c r="F3" s="4">
        <v>36000</v>
      </c>
      <c r="G3" s="4">
        <f>F3*E3</f>
        <v>18000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>
        <v>0.2</v>
      </c>
      <c r="D4" s="3"/>
      <c r="E4" s="3">
        <f t="shared" si="0"/>
        <v>0.2</v>
      </c>
      <c r="F4" s="4">
        <v>36000</v>
      </c>
      <c r="G4" s="4">
        <f t="shared" ref="G4:G73" si="1">F4*E4</f>
        <v>7200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>
        <v>0.24</v>
      </c>
      <c r="D6" s="3"/>
      <c r="E6" s="3">
        <f t="shared" si="0"/>
        <v>0.24</v>
      </c>
      <c r="F6" s="4">
        <v>60000</v>
      </c>
      <c r="G6" s="4">
        <f t="shared" si="1"/>
        <v>14400</v>
      </c>
      <c r="H6" s="3">
        <v>0.16</v>
      </c>
      <c r="I6" s="4">
        <f t="shared" si="2"/>
        <v>60000</v>
      </c>
      <c r="J6" s="4">
        <f t="shared" si="3"/>
        <v>9600</v>
      </c>
    </row>
    <row r="7" spans="1:10" x14ac:dyDescent="0.25">
      <c r="A7" s="3">
        <v>5</v>
      </c>
      <c r="B7" t="s">
        <v>13</v>
      </c>
      <c r="C7" s="3">
        <v>0.24</v>
      </c>
      <c r="D7" s="3"/>
      <c r="E7" s="3">
        <f t="shared" si="0"/>
        <v>0.24</v>
      </c>
      <c r="F7" s="4">
        <v>40000</v>
      </c>
      <c r="G7" s="4">
        <f t="shared" si="1"/>
        <v>9600</v>
      </c>
      <c r="H7" s="3"/>
      <c r="I7" s="4">
        <f t="shared" si="2"/>
        <v>40000</v>
      </c>
      <c r="J7" s="4">
        <f t="shared" si="3"/>
        <v>0</v>
      </c>
    </row>
    <row r="8" spans="1:10" x14ac:dyDescent="0.25">
      <c r="A8" s="3">
        <v>6</v>
      </c>
      <c r="B8" t="s">
        <v>14</v>
      </c>
      <c r="C8" s="3">
        <v>0.25</v>
      </c>
      <c r="D8" s="3"/>
      <c r="E8" s="3">
        <f t="shared" si="0"/>
        <v>0.25</v>
      </c>
      <c r="F8" s="4">
        <v>50000</v>
      </c>
      <c r="G8" s="4">
        <f t="shared" si="1"/>
        <v>12500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>
        <v>0.37</v>
      </c>
      <c r="I9" s="4">
        <f t="shared" si="2"/>
        <v>13000</v>
      </c>
      <c r="J9" s="4">
        <f t="shared" si="3"/>
        <v>4810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0.5</v>
      </c>
      <c r="D19" s="3">
        <v>0.5</v>
      </c>
      <c r="E19" s="3">
        <f t="shared" si="0"/>
        <v>1</v>
      </c>
      <c r="F19" s="4">
        <v>20000</v>
      </c>
      <c r="G19" s="4">
        <f t="shared" si="1"/>
        <v>20000</v>
      </c>
      <c r="H19" s="3">
        <v>0.68</v>
      </c>
      <c r="I19" s="4">
        <f t="shared" si="2"/>
        <v>20000</v>
      </c>
      <c r="J19" s="4">
        <f t="shared" si="3"/>
        <v>13600.000000000002</v>
      </c>
    </row>
    <row r="20" spans="1:10" x14ac:dyDescent="0.25">
      <c r="A20" s="3">
        <v>18</v>
      </c>
      <c r="B20" t="s">
        <v>25</v>
      </c>
      <c r="C20" s="3">
        <v>0.5</v>
      </c>
      <c r="D20" s="3">
        <v>1</v>
      </c>
      <c r="E20" s="3">
        <f t="shared" si="0"/>
        <v>1.5</v>
      </c>
      <c r="F20" s="4">
        <v>11000</v>
      </c>
      <c r="G20" s="4">
        <f t="shared" si="1"/>
        <v>16500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3.5</v>
      </c>
      <c r="D23" s="3"/>
      <c r="E23" s="3">
        <f t="shared" si="0"/>
        <v>3.5</v>
      </c>
      <c r="F23" s="4">
        <v>8000</v>
      </c>
      <c r="G23" s="4">
        <f>F23*E23</f>
        <v>28000</v>
      </c>
      <c r="H23" s="3">
        <v>0.68</v>
      </c>
      <c r="I23" s="4">
        <f t="shared" si="2"/>
        <v>8000</v>
      </c>
      <c r="J23" s="4">
        <f t="shared" si="3"/>
        <v>5440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0.25</v>
      </c>
      <c r="D26" s="3"/>
      <c r="E26" s="3">
        <f t="shared" si="0"/>
        <v>0.25</v>
      </c>
      <c r="F26" s="4">
        <v>11500</v>
      </c>
      <c r="G26" s="4">
        <f t="shared" si="1"/>
        <v>2875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>
        <v>1</v>
      </c>
      <c r="D27" s="3"/>
      <c r="E27" s="3">
        <f t="shared" si="0"/>
        <v>1</v>
      </c>
      <c r="F27" s="4">
        <v>8500</v>
      </c>
      <c r="G27" s="4">
        <f t="shared" si="1"/>
        <v>8500</v>
      </c>
      <c r="H27" s="3">
        <v>0.5</v>
      </c>
      <c r="I27" s="4">
        <f t="shared" si="2"/>
        <v>8500</v>
      </c>
      <c r="J27" s="4">
        <f t="shared" si="3"/>
        <v>4250</v>
      </c>
    </row>
    <row r="28" spans="1:10" x14ac:dyDescent="0.25">
      <c r="A28" s="3">
        <v>26</v>
      </c>
      <c r="B28" t="s">
        <v>33</v>
      </c>
      <c r="C28" s="3">
        <v>2</v>
      </c>
      <c r="D28" s="3"/>
      <c r="E28" s="3">
        <f t="shared" si="0"/>
        <v>2</v>
      </c>
      <c r="F28" s="4">
        <v>3750</v>
      </c>
      <c r="G28" s="4">
        <f t="shared" si="1"/>
        <v>7500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/>
      <c r="E29" s="3">
        <f t="shared" si="0"/>
        <v>0</v>
      </c>
      <c r="F29" s="4">
        <v>24000</v>
      </c>
      <c r="G29" s="4">
        <f t="shared" si="1"/>
        <v>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0"/>
        <v>0.5</v>
      </c>
      <c r="F33" s="4">
        <v>56000</v>
      </c>
      <c r="G33" s="4">
        <f t="shared" si="1"/>
        <v>28000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>
        <v>2</v>
      </c>
      <c r="D34" s="3">
        <v>5</v>
      </c>
      <c r="E34" s="3">
        <f t="shared" si="0"/>
        <v>7</v>
      </c>
      <c r="F34" s="4">
        <v>17500</v>
      </c>
      <c r="G34" s="4">
        <f t="shared" si="1"/>
        <v>122500</v>
      </c>
      <c r="H34" s="3">
        <v>1</v>
      </c>
      <c r="I34" s="4">
        <f t="shared" si="2"/>
        <v>17500</v>
      </c>
      <c r="J34" s="4">
        <f t="shared" si="3"/>
        <v>17500</v>
      </c>
    </row>
    <row r="35" spans="1:10" x14ac:dyDescent="0.25">
      <c r="A35" s="3">
        <v>33</v>
      </c>
      <c r="B35" t="s">
        <v>40</v>
      </c>
      <c r="C35" s="3">
        <v>1.5</v>
      </c>
      <c r="D35" s="3"/>
      <c r="E35" s="3">
        <f t="shared" si="0"/>
        <v>1.5</v>
      </c>
      <c r="F35" s="4">
        <v>3000</v>
      </c>
      <c r="G35" s="4">
        <f t="shared" si="1"/>
        <v>4500</v>
      </c>
      <c r="H35" s="3">
        <v>1</v>
      </c>
      <c r="I35" s="4">
        <f t="shared" si="2"/>
        <v>3000</v>
      </c>
      <c r="J35" s="4">
        <f t="shared" si="3"/>
        <v>3000</v>
      </c>
    </row>
    <row r="36" spans="1:10" x14ac:dyDescent="0.25">
      <c r="A36" s="3">
        <v>34</v>
      </c>
      <c r="B36" t="s">
        <v>41</v>
      </c>
      <c r="C36" s="3">
        <v>1</v>
      </c>
      <c r="D36" s="3"/>
      <c r="E36" s="3">
        <f t="shared" si="0"/>
        <v>1</v>
      </c>
      <c r="F36" s="4">
        <v>11000</v>
      </c>
      <c r="G36" s="4">
        <f t="shared" si="1"/>
        <v>11000</v>
      </c>
      <c r="H36" s="3">
        <v>1</v>
      </c>
      <c r="I36" s="4">
        <f t="shared" si="2"/>
        <v>11000</v>
      </c>
      <c r="J36" s="4">
        <f t="shared" si="3"/>
        <v>11000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1</v>
      </c>
      <c r="E41" s="3">
        <f t="shared" si="0"/>
        <v>2</v>
      </c>
      <c r="F41" s="4">
        <v>83000</v>
      </c>
      <c r="G41" s="4">
        <f t="shared" si="1"/>
        <v>166000</v>
      </c>
      <c r="H41" s="3"/>
      <c r="I41" s="4">
        <f t="shared" si="2"/>
        <v>83000</v>
      </c>
      <c r="J41" s="4">
        <f t="shared" si="3"/>
        <v>0</v>
      </c>
    </row>
    <row r="42" spans="1:10" x14ac:dyDescent="0.25">
      <c r="A42" s="3">
        <v>40</v>
      </c>
      <c r="B42" t="s">
        <v>47</v>
      </c>
      <c r="C42" s="3"/>
      <c r="D42" s="3"/>
      <c r="E42" s="3">
        <f t="shared" si="0"/>
        <v>0</v>
      </c>
      <c r="F42" s="4">
        <v>21000</v>
      </c>
      <c r="G42" s="4">
        <f t="shared" si="1"/>
        <v>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>
        <v>12</v>
      </c>
      <c r="D43" s="3"/>
      <c r="E43" s="3">
        <f t="shared" si="0"/>
        <v>12</v>
      </c>
      <c r="F43" s="4">
        <v>25000</v>
      </c>
      <c r="G43" s="4">
        <f t="shared" si="1"/>
        <v>300000</v>
      </c>
      <c r="H43" s="3">
        <v>9</v>
      </c>
      <c r="I43" s="4">
        <f t="shared" si="2"/>
        <v>25000</v>
      </c>
      <c r="J43" s="4">
        <f t="shared" si="3"/>
        <v>225000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3</v>
      </c>
      <c r="D45" s="3"/>
      <c r="E45" s="3">
        <f t="shared" si="0"/>
        <v>3</v>
      </c>
      <c r="F45" s="4">
        <v>15500</v>
      </c>
      <c r="G45" s="4">
        <f t="shared" si="1"/>
        <v>46500</v>
      </c>
      <c r="H45" s="3">
        <v>1</v>
      </c>
      <c r="I45" s="4">
        <f t="shared" si="2"/>
        <v>15500</v>
      </c>
      <c r="J45" s="4">
        <f t="shared" si="3"/>
        <v>15500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22</v>
      </c>
      <c r="D49" s="3"/>
      <c r="E49" s="3">
        <f t="shared" si="0"/>
        <v>22</v>
      </c>
      <c r="F49" s="4">
        <v>6000</v>
      </c>
      <c r="G49" s="4">
        <f t="shared" si="1"/>
        <v>132000</v>
      </c>
      <c r="H49" s="3">
        <v>16</v>
      </c>
      <c r="I49" s="4">
        <f t="shared" si="2"/>
        <v>6000</v>
      </c>
      <c r="J49" s="4">
        <f t="shared" si="3"/>
        <v>96000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0.25</v>
      </c>
      <c r="D51" s="3">
        <v>2</v>
      </c>
      <c r="E51" s="3">
        <f t="shared" si="0"/>
        <v>2.25</v>
      </c>
      <c r="F51" s="4">
        <v>12000</v>
      </c>
      <c r="G51" s="4">
        <f>F51*E51</f>
        <v>27000</v>
      </c>
      <c r="H51" s="3">
        <v>0.5</v>
      </c>
      <c r="I51" s="4">
        <f t="shared" si="2"/>
        <v>12000</v>
      </c>
      <c r="J51" s="4">
        <f t="shared" si="3"/>
        <v>6000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2</v>
      </c>
      <c r="D61" s="3">
        <v>14</v>
      </c>
      <c r="E61" s="3">
        <f t="shared" si="0"/>
        <v>16</v>
      </c>
      <c r="F61" s="4">
        <v>5250</v>
      </c>
      <c r="G61" s="4">
        <f t="shared" si="1"/>
        <v>84000</v>
      </c>
      <c r="H61" s="3"/>
      <c r="I61" s="4">
        <f t="shared" si="2"/>
        <v>5250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13</v>
      </c>
      <c r="D64" s="3"/>
      <c r="E64" s="3">
        <f t="shared" si="0"/>
        <v>13</v>
      </c>
      <c r="F64" s="4">
        <v>4625</v>
      </c>
      <c r="G64" s="4">
        <f t="shared" si="1"/>
        <v>60125</v>
      </c>
      <c r="H64" s="3">
        <v>6</v>
      </c>
      <c r="I64" s="4">
        <f t="shared" si="2"/>
        <v>4625</v>
      </c>
      <c r="J64" s="4">
        <f t="shared" si="3"/>
        <v>27750</v>
      </c>
    </row>
    <row r="65" spans="1:10" x14ac:dyDescent="0.25">
      <c r="A65" s="3">
        <v>63</v>
      </c>
      <c r="B65" t="s">
        <v>70</v>
      </c>
      <c r="C65" s="3">
        <v>3</v>
      </c>
      <c r="D65" s="3">
        <v>10</v>
      </c>
      <c r="E65" s="3">
        <f t="shared" si="0"/>
        <v>13</v>
      </c>
      <c r="F65" s="4">
        <v>21000</v>
      </c>
      <c r="G65" s="4">
        <f t="shared" si="1"/>
        <v>273000</v>
      </c>
      <c r="H65" s="3">
        <v>8</v>
      </c>
      <c r="I65" s="4">
        <f t="shared" si="2"/>
        <v>21000</v>
      </c>
      <c r="J65" s="4">
        <f t="shared" si="3"/>
        <v>168000</v>
      </c>
    </row>
    <row r="66" spans="1:10" x14ac:dyDescent="0.25">
      <c r="A66" s="3">
        <v>64</v>
      </c>
      <c r="B66" t="s">
        <v>115</v>
      </c>
      <c r="C66" s="3">
        <v>0.4</v>
      </c>
      <c r="D66" s="3"/>
      <c r="E66" s="3">
        <f t="shared" si="0"/>
        <v>0.4</v>
      </c>
      <c r="F66" s="4">
        <v>100000</v>
      </c>
      <c r="G66" s="4">
        <f t="shared" si="1"/>
        <v>40000</v>
      </c>
      <c r="H66" s="3">
        <v>0.3</v>
      </c>
      <c r="I66" s="4">
        <f t="shared" si="2"/>
        <v>100000</v>
      </c>
      <c r="J66" s="4">
        <f t="shared" si="3"/>
        <v>30000</v>
      </c>
    </row>
    <row r="67" spans="1:10" x14ac:dyDescent="0.25">
      <c r="A67" s="3">
        <v>65</v>
      </c>
      <c r="B67" t="s">
        <v>71</v>
      </c>
      <c r="C67" s="3">
        <v>1.25</v>
      </c>
      <c r="D67" s="3">
        <v>1</v>
      </c>
      <c r="E67" s="3">
        <f t="shared" ref="E67:E83" si="4">C67+D67</f>
        <v>2.25</v>
      </c>
      <c r="F67" s="4">
        <v>17500</v>
      </c>
      <c r="G67" s="4">
        <f t="shared" si="1"/>
        <v>39375</v>
      </c>
      <c r="H67" s="3">
        <v>1.5</v>
      </c>
      <c r="I67" s="4">
        <f t="shared" si="2"/>
        <v>17500</v>
      </c>
      <c r="J67" s="4">
        <f t="shared" si="3"/>
        <v>26250</v>
      </c>
    </row>
    <row r="68" spans="1:10" x14ac:dyDescent="0.25">
      <c r="A68" s="3">
        <v>66</v>
      </c>
      <c r="B68" t="s">
        <v>72</v>
      </c>
      <c r="C68" s="3">
        <v>4.5</v>
      </c>
      <c r="D68" s="3"/>
      <c r="E68" s="3">
        <f t="shared" si="4"/>
        <v>4.5</v>
      </c>
      <c r="F68" s="4">
        <v>8000</v>
      </c>
      <c r="G68" s="4">
        <f t="shared" si="1"/>
        <v>36000</v>
      </c>
      <c r="H68" s="3">
        <v>2</v>
      </c>
      <c r="I68" s="4">
        <f t="shared" si="2"/>
        <v>8000</v>
      </c>
      <c r="J68" s="4">
        <f t="shared" si="3"/>
        <v>16000</v>
      </c>
    </row>
    <row r="69" spans="1:10" x14ac:dyDescent="0.25">
      <c r="A69" s="3">
        <v>67</v>
      </c>
      <c r="B69" t="s">
        <v>73</v>
      </c>
      <c r="C69" s="3"/>
      <c r="D69" s="3">
        <v>2</v>
      </c>
      <c r="E69" s="3">
        <f t="shared" si="4"/>
        <v>2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1.5</v>
      </c>
      <c r="D70" s="3">
        <v>2</v>
      </c>
      <c r="E70" s="3">
        <f t="shared" si="4"/>
        <v>3.5</v>
      </c>
      <c r="F70" s="4">
        <v>24000</v>
      </c>
      <c r="G70" s="4">
        <f t="shared" si="1"/>
        <v>84000</v>
      </c>
      <c r="H70" s="3">
        <v>3</v>
      </c>
      <c r="I70" s="4">
        <f t="shared" si="2"/>
        <v>24000</v>
      </c>
      <c r="J70" s="4">
        <f t="shared" si="5"/>
        <v>72000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0.5</v>
      </c>
      <c r="D72" s="3">
        <v>2</v>
      </c>
      <c r="E72" s="3">
        <f t="shared" si="4"/>
        <v>2.5</v>
      </c>
      <c r="F72" s="4">
        <v>15000</v>
      </c>
      <c r="G72" s="4">
        <f>F72*E72</f>
        <v>37500</v>
      </c>
      <c r="H72" s="3">
        <v>1</v>
      </c>
      <c r="I72" s="4">
        <f t="shared" si="2"/>
        <v>15000</v>
      </c>
      <c r="J72" s="4">
        <f t="shared" si="5"/>
        <v>15000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27</v>
      </c>
      <c r="D74" s="3"/>
      <c r="E74" s="3">
        <f t="shared" si="4"/>
        <v>27</v>
      </c>
      <c r="F74" s="4"/>
      <c r="G74" s="4">
        <f t="shared" ref="G74:G83" si="6">F74*E74</f>
        <v>0</v>
      </c>
      <c r="H74" s="3">
        <v>27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4</v>
      </c>
      <c r="D75" s="3">
        <v>35</v>
      </c>
      <c r="E75" s="3">
        <f t="shared" si="4"/>
        <v>39</v>
      </c>
      <c r="F75" s="4"/>
      <c r="G75" s="4">
        <f t="shared" si="6"/>
        <v>0</v>
      </c>
      <c r="H75" s="3">
        <v>35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12</v>
      </c>
      <c r="D76" s="3"/>
      <c r="E76" s="3">
        <f t="shared" si="4"/>
        <v>12</v>
      </c>
      <c r="F76" s="4"/>
      <c r="G76" s="4">
        <f t="shared" si="6"/>
        <v>0</v>
      </c>
      <c r="H76" s="3">
        <v>7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1649575</v>
      </c>
      <c r="H85" s="5"/>
      <c r="I85" s="5"/>
      <c r="J85" s="5">
        <f>SUM(J3:J84)</f>
        <v>794700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29</v>
      </c>
      <c r="D89" s="3"/>
      <c r="E89" s="3">
        <f>C89+D89</f>
        <v>29</v>
      </c>
      <c r="F89" s="4">
        <v>1240</v>
      </c>
      <c r="G89" s="4">
        <f>F89*E89</f>
        <v>35960</v>
      </c>
      <c r="H89" s="3">
        <v>26</v>
      </c>
      <c r="I89" s="4">
        <f>F89</f>
        <v>1240</v>
      </c>
      <c r="J89" s="4">
        <f>I89*H89</f>
        <v>32240</v>
      </c>
    </row>
    <row r="90" spans="1:10" x14ac:dyDescent="0.25">
      <c r="A90" s="3">
        <v>2</v>
      </c>
      <c r="B90" t="s">
        <v>85</v>
      </c>
      <c r="C90" s="3">
        <v>35</v>
      </c>
      <c r="D90" s="3"/>
      <c r="E90" s="3">
        <f>C90+D90</f>
        <v>35</v>
      </c>
      <c r="F90" s="4">
        <v>1000</v>
      </c>
      <c r="G90" s="4">
        <f t="shared" ref="G90:G120" si="8">F90*E90</f>
        <v>35000</v>
      </c>
      <c r="H90" s="3">
        <v>16</v>
      </c>
      <c r="I90" s="4">
        <f t="shared" ref="I90:I120" si="9">F90</f>
        <v>1000</v>
      </c>
      <c r="J90" s="4">
        <f t="shared" ref="J90:J120" si="10">I90*H90</f>
        <v>16000</v>
      </c>
    </row>
    <row r="91" spans="1:10" x14ac:dyDescent="0.25">
      <c r="A91" s="3">
        <v>3</v>
      </c>
      <c r="B91" t="s">
        <v>86</v>
      </c>
      <c r="C91" s="3">
        <v>9</v>
      </c>
      <c r="D91" s="3">
        <v>10</v>
      </c>
      <c r="E91" s="3">
        <f t="shared" ref="E91:E120" si="11">C91+D91</f>
        <v>19</v>
      </c>
      <c r="F91" s="4">
        <v>1650</v>
      </c>
      <c r="G91" s="4">
        <f t="shared" si="8"/>
        <v>31350</v>
      </c>
      <c r="H91" s="3">
        <v>15</v>
      </c>
      <c r="I91" s="4">
        <f t="shared" si="9"/>
        <v>1650</v>
      </c>
      <c r="J91" s="4">
        <f t="shared" si="10"/>
        <v>24750</v>
      </c>
    </row>
    <row r="92" spans="1:10" x14ac:dyDescent="0.25">
      <c r="A92" s="3">
        <v>4</v>
      </c>
      <c r="B92" t="s">
        <v>87</v>
      </c>
      <c r="C92" s="3">
        <v>5</v>
      </c>
      <c r="D92" s="3">
        <v>10</v>
      </c>
      <c r="E92" s="3">
        <f t="shared" si="11"/>
        <v>15</v>
      </c>
      <c r="F92" s="4">
        <v>1650</v>
      </c>
      <c r="G92" s="4">
        <f t="shared" si="8"/>
        <v>24750</v>
      </c>
      <c r="H92" s="3">
        <v>12</v>
      </c>
      <c r="I92" s="4">
        <f t="shared" si="9"/>
        <v>1650</v>
      </c>
      <c r="J92" s="4">
        <f t="shared" si="10"/>
        <v>19800</v>
      </c>
    </row>
    <row r="93" spans="1:10" x14ac:dyDescent="0.25">
      <c r="A93" s="3">
        <v>5</v>
      </c>
      <c r="B93" t="s">
        <v>88</v>
      </c>
      <c r="C93" s="3">
        <v>5</v>
      </c>
      <c r="D93" s="3">
        <v>10</v>
      </c>
      <c r="E93" s="3">
        <f t="shared" si="11"/>
        <v>15</v>
      </c>
      <c r="F93" s="4">
        <v>1750</v>
      </c>
      <c r="G93" s="4">
        <f t="shared" si="8"/>
        <v>26250</v>
      </c>
      <c r="H93" s="3">
        <v>15</v>
      </c>
      <c r="I93" s="4">
        <f t="shared" si="9"/>
        <v>1750</v>
      </c>
      <c r="J93" s="4">
        <f t="shared" si="10"/>
        <v>26250</v>
      </c>
    </row>
    <row r="94" spans="1:10" x14ac:dyDescent="0.25">
      <c r="A94" s="3">
        <v>6</v>
      </c>
      <c r="B94" t="s">
        <v>89</v>
      </c>
      <c r="C94" s="3">
        <v>13</v>
      </c>
      <c r="D94" s="3">
        <v>6</v>
      </c>
      <c r="E94" s="3">
        <f t="shared" si="11"/>
        <v>19</v>
      </c>
      <c r="F94" s="4">
        <v>1500</v>
      </c>
      <c r="G94" s="4">
        <f t="shared" si="8"/>
        <v>28500</v>
      </c>
      <c r="H94" s="3">
        <v>14</v>
      </c>
      <c r="I94" s="4">
        <f t="shared" si="9"/>
        <v>1500</v>
      </c>
      <c r="J94" s="4">
        <f t="shared" si="10"/>
        <v>21000</v>
      </c>
    </row>
    <row r="95" spans="1:10" x14ac:dyDescent="0.25">
      <c r="A95" s="3">
        <v>7</v>
      </c>
      <c r="B95" t="s">
        <v>90</v>
      </c>
      <c r="C95" s="3">
        <v>5</v>
      </c>
      <c r="D95" s="3">
        <v>6</v>
      </c>
      <c r="E95" s="3">
        <f t="shared" si="11"/>
        <v>11</v>
      </c>
      <c r="F95" s="4">
        <v>1500</v>
      </c>
      <c r="G95" s="4">
        <f t="shared" si="8"/>
        <v>16500</v>
      </c>
      <c r="H95" s="3">
        <v>7</v>
      </c>
      <c r="I95" s="4">
        <f t="shared" si="9"/>
        <v>1500</v>
      </c>
      <c r="J95" s="4">
        <f t="shared" si="10"/>
        <v>10500</v>
      </c>
    </row>
    <row r="96" spans="1:10" x14ac:dyDescent="0.25">
      <c r="A96" s="3">
        <v>8</v>
      </c>
      <c r="B96" t="s">
        <v>91</v>
      </c>
      <c r="C96" s="3">
        <v>6</v>
      </c>
      <c r="D96" s="3">
        <v>12</v>
      </c>
      <c r="E96" s="3">
        <f t="shared" si="11"/>
        <v>18</v>
      </c>
      <c r="F96" s="4">
        <v>3350</v>
      </c>
      <c r="G96" s="4">
        <f t="shared" si="8"/>
        <v>60300</v>
      </c>
      <c r="H96" s="3">
        <v>15</v>
      </c>
      <c r="I96" s="4">
        <f t="shared" si="9"/>
        <v>3350</v>
      </c>
      <c r="J96" s="4">
        <f t="shared" si="10"/>
        <v>50250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1.5</v>
      </c>
      <c r="I97" s="4">
        <f t="shared" si="9"/>
        <v>23000</v>
      </c>
      <c r="J97" s="4">
        <f t="shared" si="10"/>
        <v>34500</v>
      </c>
    </row>
    <row r="98" spans="1:10" x14ac:dyDescent="0.25">
      <c r="A98" s="3">
        <v>10</v>
      </c>
      <c r="B98" t="s">
        <v>93</v>
      </c>
      <c r="C98" s="3">
        <v>5</v>
      </c>
      <c r="D98" s="3">
        <v>10</v>
      </c>
      <c r="E98" s="3">
        <f t="shared" si="11"/>
        <v>15</v>
      </c>
      <c r="F98" s="4">
        <v>9000</v>
      </c>
      <c r="G98" s="4">
        <f t="shared" si="8"/>
        <v>135000</v>
      </c>
      <c r="H98" s="3">
        <v>13</v>
      </c>
      <c r="I98" s="4">
        <f t="shared" si="9"/>
        <v>9000</v>
      </c>
      <c r="J98" s="4">
        <f t="shared" si="10"/>
        <v>117000</v>
      </c>
    </row>
    <row r="99" spans="1:10" x14ac:dyDescent="0.25">
      <c r="A99" s="3">
        <v>11</v>
      </c>
      <c r="B99" t="s">
        <v>94</v>
      </c>
      <c r="C99" s="3">
        <v>0.5</v>
      </c>
      <c r="D99" s="3">
        <v>1</v>
      </c>
      <c r="E99" s="3">
        <f t="shared" si="11"/>
        <v>1.5</v>
      </c>
      <c r="F99" s="4">
        <v>6000</v>
      </c>
      <c r="G99" s="4">
        <f t="shared" si="8"/>
        <v>9000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/>
      <c r="D100" s="3"/>
      <c r="E100" s="3">
        <f t="shared" si="11"/>
        <v>0</v>
      </c>
      <c r="F100" s="4">
        <v>8000</v>
      </c>
      <c r="G100" s="4">
        <f t="shared" si="8"/>
        <v>0</v>
      </c>
      <c r="H100" s="3"/>
      <c r="I100" s="4">
        <f t="shared" si="9"/>
        <v>8000</v>
      </c>
      <c r="J100" s="4">
        <f t="shared" si="10"/>
        <v>0</v>
      </c>
    </row>
    <row r="101" spans="1:10" x14ac:dyDescent="0.25">
      <c r="A101" s="3">
        <v>13</v>
      </c>
      <c r="B101" t="s">
        <v>96</v>
      </c>
      <c r="C101" s="3"/>
      <c r="D101" s="3"/>
      <c r="E101" s="3">
        <f t="shared" si="11"/>
        <v>0</v>
      </c>
      <c r="F101" s="4">
        <v>3300</v>
      </c>
      <c r="G101" s="4">
        <f t="shared" si="8"/>
        <v>0</v>
      </c>
      <c r="H101" s="3"/>
      <c r="I101" s="4">
        <f t="shared" si="9"/>
        <v>3300</v>
      </c>
      <c r="J101" s="4">
        <f t="shared" si="10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 t="shared" si="10"/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 t="shared" si="10"/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>
        <v>2</v>
      </c>
      <c r="D110" s="3"/>
      <c r="E110" s="3">
        <f t="shared" si="11"/>
        <v>2</v>
      </c>
      <c r="F110" s="4"/>
      <c r="G110" s="4">
        <f t="shared" si="8"/>
        <v>0</v>
      </c>
      <c r="H110" s="3">
        <v>1</v>
      </c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1.5</v>
      </c>
      <c r="D111" s="3">
        <v>8</v>
      </c>
      <c r="E111" s="3">
        <f t="shared" si="11"/>
        <v>9.5</v>
      </c>
      <c r="F111" s="4">
        <v>4000</v>
      </c>
      <c r="G111" s="4">
        <f t="shared" si="8"/>
        <v>38000</v>
      </c>
      <c r="H111" s="3">
        <v>5</v>
      </c>
      <c r="I111" s="4">
        <f t="shared" si="9"/>
        <v>4000</v>
      </c>
      <c r="J111" s="4">
        <f t="shared" si="10"/>
        <v>20000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630610</v>
      </c>
      <c r="H121" s="5"/>
      <c r="I121" s="5"/>
      <c r="J121" s="5">
        <f>SUM(J89:J120)</f>
        <v>426290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1220990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C17F-A615-4BA8-897B-ADC8AB6CDE00}">
  <dimension ref="A1:J268"/>
  <sheetViews>
    <sheetView workbookViewId="0">
      <selection sqref="A1:XFD104857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1</v>
      </c>
      <c r="E3" s="3">
        <f t="shared" ref="E3:E66" si="0">C3+D3</f>
        <v>1</v>
      </c>
      <c r="F3" s="4">
        <v>36000</v>
      </c>
      <c r="G3" s="4">
        <f>F3*E3</f>
        <v>36000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/>
      <c r="D4" s="3">
        <v>0.25</v>
      </c>
      <c r="E4" s="3">
        <f t="shared" si="0"/>
        <v>0.25</v>
      </c>
      <c r="F4" s="4">
        <v>36000</v>
      </c>
      <c r="G4" s="4">
        <f t="shared" ref="G4:G73" si="1">F4*E4</f>
        <v>9000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>
        <v>0.16</v>
      </c>
      <c r="D6" s="3">
        <v>0.25</v>
      </c>
      <c r="E6" s="3">
        <f t="shared" si="0"/>
        <v>0.41000000000000003</v>
      </c>
      <c r="F6" s="4">
        <v>60000</v>
      </c>
      <c r="G6" s="4">
        <f t="shared" si="1"/>
        <v>24600.000000000004</v>
      </c>
      <c r="H6" s="3">
        <v>0.13</v>
      </c>
      <c r="I6" s="4">
        <f t="shared" si="2"/>
        <v>60000</v>
      </c>
      <c r="J6" s="4">
        <f t="shared" si="3"/>
        <v>7800</v>
      </c>
    </row>
    <row r="7" spans="1:10" x14ac:dyDescent="0.25">
      <c r="A7" s="3">
        <v>5</v>
      </c>
      <c r="B7" t="s">
        <v>13</v>
      </c>
      <c r="C7" s="3"/>
      <c r="D7" s="3">
        <v>1</v>
      </c>
      <c r="E7" s="3">
        <f t="shared" si="0"/>
        <v>1</v>
      </c>
      <c r="F7" s="4">
        <v>40000</v>
      </c>
      <c r="G7" s="4">
        <f t="shared" si="1"/>
        <v>40000</v>
      </c>
      <c r="H7" s="3">
        <v>0.6</v>
      </c>
      <c r="I7" s="4">
        <f t="shared" si="2"/>
        <v>40000</v>
      </c>
      <c r="J7" s="4">
        <f t="shared" si="3"/>
        <v>24000</v>
      </c>
    </row>
    <row r="8" spans="1:10" x14ac:dyDescent="0.25">
      <c r="A8" s="3">
        <v>6</v>
      </c>
      <c r="B8" t="s">
        <v>14</v>
      </c>
      <c r="C8" s="3"/>
      <c r="D8" s="3">
        <v>0.05</v>
      </c>
      <c r="E8" s="3">
        <f t="shared" si="0"/>
        <v>0.05</v>
      </c>
      <c r="F8" s="4">
        <v>50000</v>
      </c>
      <c r="G8" s="4">
        <f t="shared" si="1"/>
        <v>2500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>
        <v>0.37</v>
      </c>
      <c r="D9" s="3">
        <v>0.8</v>
      </c>
      <c r="E9" s="3">
        <f t="shared" si="0"/>
        <v>1.17</v>
      </c>
      <c r="F9" s="4">
        <v>13000</v>
      </c>
      <c r="G9" s="4">
        <f t="shared" si="1"/>
        <v>15209.999999999998</v>
      </c>
      <c r="H9" s="3">
        <v>0.5</v>
      </c>
      <c r="I9" s="4">
        <f t="shared" si="2"/>
        <v>13000</v>
      </c>
      <c r="J9" s="4">
        <f t="shared" si="3"/>
        <v>6500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0.68</v>
      </c>
      <c r="D19" s="3">
        <v>0.5</v>
      </c>
      <c r="E19" s="3">
        <f t="shared" si="0"/>
        <v>1.1800000000000002</v>
      </c>
      <c r="F19" s="4">
        <v>20000</v>
      </c>
      <c r="G19" s="4">
        <f t="shared" si="1"/>
        <v>23600.000000000004</v>
      </c>
      <c r="H19" s="3">
        <v>0.5</v>
      </c>
      <c r="I19" s="4">
        <f t="shared" si="2"/>
        <v>20000</v>
      </c>
      <c r="J19" s="4">
        <f t="shared" si="3"/>
        <v>10000</v>
      </c>
    </row>
    <row r="20" spans="1:10" x14ac:dyDescent="0.25">
      <c r="A20" s="3">
        <v>18</v>
      </c>
      <c r="B20" t="s">
        <v>25</v>
      </c>
      <c r="C20" s="3"/>
      <c r="D20" s="3">
        <v>3</v>
      </c>
      <c r="E20" s="3">
        <f t="shared" si="0"/>
        <v>3</v>
      </c>
      <c r="F20" s="4">
        <v>11000</v>
      </c>
      <c r="G20" s="4">
        <f t="shared" si="1"/>
        <v>33000</v>
      </c>
      <c r="H20" s="3">
        <v>2</v>
      </c>
      <c r="I20" s="4">
        <f t="shared" si="2"/>
        <v>11000</v>
      </c>
      <c r="J20" s="4">
        <f t="shared" si="3"/>
        <v>22000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0.68</v>
      </c>
      <c r="D23" s="3">
        <v>4</v>
      </c>
      <c r="E23" s="3">
        <f t="shared" si="0"/>
        <v>4.68</v>
      </c>
      <c r="F23" s="4">
        <v>8000</v>
      </c>
      <c r="G23" s="4">
        <f>F23*E23</f>
        <v>37440</v>
      </c>
      <c r="H23" s="3">
        <v>2.6</v>
      </c>
      <c r="I23" s="4">
        <f t="shared" si="2"/>
        <v>8000</v>
      </c>
      <c r="J23" s="4">
        <f t="shared" si="3"/>
        <v>20800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>
        <v>1.5</v>
      </c>
      <c r="E26" s="3">
        <f t="shared" si="0"/>
        <v>1.5</v>
      </c>
      <c r="F26" s="4">
        <v>11500</v>
      </c>
      <c r="G26" s="4">
        <f t="shared" si="1"/>
        <v>17250</v>
      </c>
      <c r="H26" s="3">
        <v>0.5</v>
      </c>
      <c r="I26" s="4">
        <f t="shared" si="2"/>
        <v>11500</v>
      </c>
      <c r="J26" s="4">
        <f t="shared" si="3"/>
        <v>5750</v>
      </c>
    </row>
    <row r="27" spans="1:10" x14ac:dyDescent="0.25">
      <c r="A27" s="3">
        <v>25</v>
      </c>
      <c r="B27" t="s">
        <v>32</v>
      </c>
      <c r="C27" s="3">
        <v>0.5</v>
      </c>
      <c r="D27" s="3"/>
      <c r="E27" s="3">
        <f t="shared" si="0"/>
        <v>0.5</v>
      </c>
      <c r="F27" s="4">
        <v>8500</v>
      </c>
      <c r="G27" s="4">
        <f t="shared" si="1"/>
        <v>4250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/>
      <c r="E29" s="3">
        <f t="shared" si="0"/>
        <v>0</v>
      </c>
      <c r="F29" s="4">
        <v>24000</v>
      </c>
      <c r="G29" s="4">
        <f t="shared" si="1"/>
        <v>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0"/>
        <v>0.5</v>
      </c>
      <c r="F33" s="4">
        <v>56000</v>
      </c>
      <c r="G33" s="4">
        <f t="shared" si="1"/>
        <v>28000</v>
      </c>
      <c r="H33" s="3">
        <v>0.5</v>
      </c>
      <c r="I33" s="4">
        <f t="shared" si="2"/>
        <v>56000</v>
      </c>
      <c r="J33" s="4">
        <f t="shared" si="3"/>
        <v>28000</v>
      </c>
    </row>
    <row r="34" spans="1:10" x14ac:dyDescent="0.25">
      <c r="A34" s="3">
        <v>32</v>
      </c>
      <c r="B34" t="s">
        <v>39</v>
      </c>
      <c r="C34" s="3">
        <v>1</v>
      </c>
      <c r="D34" s="3">
        <v>6</v>
      </c>
      <c r="E34" s="3">
        <f t="shared" si="0"/>
        <v>7</v>
      </c>
      <c r="F34" s="4">
        <v>17500</v>
      </c>
      <c r="G34" s="4">
        <f t="shared" si="1"/>
        <v>122500</v>
      </c>
      <c r="H34" s="3">
        <v>7</v>
      </c>
      <c r="I34" s="4">
        <f t="shared" si="2"/>
        <v>17500</v>
      </c>
      <c r="J34" s="4">
        <f t="shared" si="3"/>
        <v>122500</v>
      </c>
    </row>
    <row r="35" spans="1:10" x14ac:dyDescent="0.25">
      <c r="A35" s="3">
        <v>33</v>
      </c>
      <c r="B35" t="s">
        <v>40</v>
      </c>
      <c r="C35" s="3">
        <v>1</v>
      </c>
      <c r="D35" s="3"/>
      <c r="E35" s="3">
        <f t="shared" si="0"/>
        <v>1</v>
      </c>
      <c r="F35" s="4">
        <v>3000</v>
      </c>
      <c r="G35" s="4">
        <f t="shared" si="1"/>
        <v>3000</v>
      </c>
      <c r="H35" s="3">
        <v>1</v>
      </c>
      <c r="I35" s="4">
        <f t="shared" si="2"/>
        <v>3000</v>
      </c>
      <c r="J35" s="4">
        <f t="shared" si="3"/>
        <v>3000</v>
      </c>
    </row>
    <row r="36" spans="1:10" x14ac:dyDescent="0.25">
      <c r="A36" s="3">
        <v>34</v>
      </c>
      <c r="B36" t="s">
        <v>41</v>
      </c>
      <c r="C36" s="3">
        <v>1</v>
      </c>
      <c r="D36" s="3"/>
      <c r="E36" s="3">
        <f t="shared" si="0"/>
        <v>1</v>
      </c>
      <c r="F36" s="4">
        <v>11000</v>
      </c>
      <c r="G36" s="4">
        <f t="shared" si="1"/>
        <v>11000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/>
      <c r="D41" s="3">
        <v>2</v>
      </c>
      <c r="E41" s="3">
        <f t="shared" si="0"/>
        <v>2</v>
      </c>
      <c r="F41" s="4">
        <v>83000</v>
      </c>
      <c r="G41" s="4">
        <f t="shared" si="1"/>
        <v>166000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1</v>
      </c>
      <c r="D42" s="3">
        <v>4</v>
      </c>
      <c r="E42" s="3">
        <f t="shared" si="0"/>
        <v>5</v>
      </c>
      <c r="F42" s="4">
        <v>21000</v>
      </c>
      <c r="G42" s="4">
        <f t="shared" si="1"/>
        <v>105000</v>
      </c>
      <c r="H42" s="3">
        <v>1</v>
      </c>
      <c r="I42" s="4">
        <f t="shared" si="2"/>
        <v>21000</v>
      </c>
      <c r="J42" s="4">
        <f t="shared" si="3"/>
        <v>21000</v>
      </c>
    </row>
    <row r="43" spans="1:10" x14ac:dyDescent="0.25">
      <c r="A43" s="3">
        <v>41</v>
      </c>
      <c r="B43" t="s">
        <v>48</v>
      </c>
      <c r="C43" s="3">
        <v>9</v>
      </c>
      <c r="D43" s="3"/>
      <c r="E43" s="3">
        <f t="shared" si="0"/>
        <v>9</v>
      </c>
      <c r="F43" s="4">
        <v>25000</v>
      </c>
      <c r="G43" s="4">
        <f t="shared" si="1"/>
        <v>225000</v>
      </c>
      <c r="H43" s="3">
        <v>6.5</v>
      </c>
      <c r="I43" s="4">
        <f t="shared" si="2"/>
        <v>25000</v>
      </c>
      <c r="J43" s="4">
        <f t="shared" si="3"/>
        <v>162500</v>
      </c>
    </row>
    <row r="44" spans="1:10" x14ac:dyDescent="0.25">
      <c r="A44" s="3">
        <v>42</v>
      </c>
      <c r="B44" t="s">
        <v>49</v>
      </c>
      <c r="C44" s="3"/>
      <c r="D44" s="3">
        <v>1</v>
      </c>
      <c r="E44" s="3">
        <f t="shared" si="0"/>
        <v>1</v>
      </c>
      <c r="F44" s="4">
        <v>5500</v>
      </c>
      <c r="G44" s="4">
        <f t="shared" si="1"/>
        <v>5500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1</v>
      </c>
      <c r="D45" s="3">
        <v>4</v>
      </c>
      <c r="E45" s="3">
        <f t="shared" si="0"/>
        <v>5</v>
      </c>
      <c r="F45" s="4">
        <v>15500</v>
      </c>
      <c r="G45" s="4">
        <f t="shared" si="1"/>
        <v>77500</v>
      </c>
      <c r="H45" s="3">
        <v>3</v>
      </c>
      <c r="I45" s="4">
        <f t="shared" si="2"/>
        <v>15500</v>
      </c>
      <c r="J45" s="4">
        <f t="shared" si="3"/>
        <v>46500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16</v>
      </c>
      <c r="D49" s="3"/>
      <c r="E49" s="3">
        <f t="shared" si="0"/>
        <v>16</v>
      </c>
      <c r="F49" s="4">
        <v>6000</v>
      </c>
      <c r="G49" s="4">
        <f t="shared" si="1"/>
        <v>96000</v>
      </c>
      <c r="H49" s="3">
        <v>13</v>
      </c>
      <c r="I49" s="4">
        <f t="shared" si="2"/>
        <v>6000</v>
      </c>
      <c r="J49" s="4">
        <f t="shared" si="3"/>
        <v>78000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0.5</v>
      </c>
      <c r="D51" s="3">
        <v>2</v>
      </c>
      <c r="E51" s="3">
        <f t="shared" si="0"/>
        <v>2.5</v>
      </c>
      <c r="F51" s="4">
        <v>12000</v>
      </c>
      <c r="G51" s="4">
        <f>F51*E51</f>
        <v>30000</v>
      </c>
      <c r="H51" s="3">
        <v>1</v>
      </c>
      <c r="I51" s="4">
        <f t="shared" si="2"/>
        <v>12000</v>
      </c>
      <c r="J51" s="4">
        <f t="shared" si="3"/>
        <v>12000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>
        <v>21</v>
      </c>
      <c r="E61" s="3">
        <f t="shared" si="0"/>
        <v>21</v>
      </c>
      <c r="F61" s="4">
        <v>5250</v>
      </c>
      <c r="G61" s="4">
        <f t="shared" si="1"/>
        <v>110250</v>
      </c>
      <c r="H61" s="3">
        <v>14</v>
      </c>
      <c r="I61" s="4">
        <f t="shared" si="2"/>
        <v>5250</v>
      </c>
      <c r="J61" s="4">
        <f t="shared" si="3"/>
        <v>73500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37000</v>
      </c>
      <c r="G63" s="4">
        <f t="shared" si="1"/>
        <v>0</v>
      </c>
      <c r="H63" s="3"/>
      <c r="I63" s="4">
        <f t="shared" si="2"/>
        <v>37000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6</v>
      </c>
      <c r="D64" s="3"/>
      <c r="E64" s="3">
        <f t="shared" si="0"/>
        <v>6</v>
      </c>
      <c r="F64" s="4">
        <v>4625</v>
      </c>
      <c r="G64" s="4">
        <f t="shared" si="1"/>
        <v>27750</v>
      </c>
      <c r="H64" s="3"/>
      <c r="I64" s="4">
        <f t="shared" si="2"/>
        <v>4625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>
        <v>8</v>
      </c>
      <c r="D65" s="3"/>
      <c r="E65" s="3">
        <f t="shared" si="0"/>
        <v>8</v>
      </c>
      <c r="F65" s="4">
        <v>21000</v>
      </c>
      <c r="G65" s="4">
        <f t="shared" si="1"/>
        <v>168000</v>
      </c>
      <c r="H65" s="3"/>
      <c r="I65" s="4">
        <f t="shared" si="2"/>
        <v>21000</v>
      </c>
      <c r="J65" s="4">
        <f t="shared" si="3"/>
        <v>0</v>
      </c>
    </row>
    <row r="66" spans="1:10" x14ac:dyDescent="0.25">
      <c r="A66" s="3">
        <v>64</v>
      </c>
      <c r="B66" t="s">
        <v>115</v>
      </c>
      <c r="C66" s="3">
        <v>0.3</v>
      </c>
      <c r="D66" s="3"/>
      <c r="E66" s="3">
        <f t="shared" si="0"/>
        <v>0.3</v>
      </c>
      <c r="F66" s="4">
        <v>100000</v>
      </c>
      <c r="G66" s="4">
        <f t="shared" si="1"/>
        <v>30000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>
        <v>1.5</v>
      </c>
      <c r="D67" s="3">
        <v>1</v>
      </c>
      <c r="E67" s="3">
        <f t="shared" ref="E67:E83" si="4">C67+D67</f>
        <v>2.5</v>
      </c>
      <c r="F67" s="4">
        <v>17500</v>
      </c>
      <c r="G67" s="4">
        <f t="shared" si="1"/>
        <v>43750</v>
      </c>
      <c r="H67" s="3">
        <v>1</v>
      </c>
      <c r="I67" s="4">
        <f t="shared" si="2"/>
        <v>17500</v>
      </c>
      <c r="J67" s="4">
        <f t="shared" si="3"/>
        <v>17500</v>
      </c>
    </row>
    <row r="68" spans="1:10" x14ac:dyDescent="0.25">
      <c r="A68" s="3">
        <v>66</v>
      </c>
      <c r="B68" t="s">
        <v>72</v>
      </c>
      <c r="C68" s="3">
        <v>2</v>
      </c>
      <c r="D68" s="3">
        <v>3</v>
      </c>
      <c r="E68" s="3">
        <f t="shared" si="4"/>
        <v>5</v>
      </c>
      <c r="F68" s="4">
        <v>8000</v>
      </c>
      <c r="G68" s="4">
        <f t="shared" si="1"/>
        <v>40000</v>
      </c>
      <c r="H68" s="3">
        <v>4</v>
      </c>
      <c r="I68" s="4">
        <f t="shared" si="2"/>
        <v>8000</v>
      </c>
      <c r="J68" s="4">
        <f t="shared" si="3"/>
        <v>32000</v>
      </c>
    </row>
    <row r="69" spans="1:10" x14ac:dyDescent="0.25">
      <c r="A69" s="3">
        <v>67</v>
      </c>
      <c r="B69" t="s">
        <v>73</v>
      </c>
      <c r="C69" s="3"/>
      <c r="D69" s="3">
        <v>2</v>
      </c>
      <c r="E69" s="3">
        <f t="shared" si="4"/>
        <v>2</v>
      </c>
      <c r="F69" s="4"/>
      <c r="G69" s="4">
        <f t="shared" si="1"/>
        <v>0</v>
      </c>
      <c r="H69" s="3">
        <v>0.5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3</v>
      </c>
      <c r="D70" s="3"/>
      <c r="E70" s="3">
        <f t="shared" si="4"/>
        <v>3</v>
      </c>
      <c r="F70" s="4">
        <v>24000</v>
      </c>
      <c r="G70" s="4">
        <f t="shared" si="1"/>
        <v>72000</v>
      </c>
      <c r="H70" s="3">
        <v>2</v>
      </c>
      <c r="I70" s="4">
        <f t="shared" si="2"/>
        <v>24000</v>
      </c>
      <c r="J70" s="4">
        <f t="shared" si="5"/>
        <v>48000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>
        <v>2</v>
      </c>
      <c r="E72" s="3">
        <f t="shared" si="4"/>
        <v>3</v>
      </c>
      <c r="F72" s="4">
        <v>15000</v>
      </c>
      <c r="G72" s="4">
        <f>F72*E72</f>
        <v>45000</v>
      </c>
      <c r="H72" s="3">
        <v>1.5</v>
      </c>
      <c r="I72" s="4">
        <f t="shared" si="2"/>
        <v>15000</v>
      </c>
      <c r="J72" s="4">
        <f t="shared" si="5"/>
        <v>22500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27</v>
      </c>
      <c r="D74" s="3"/>
      <c r="E74" s="3">
        <f t="shared" si="4"/>
        <v>27</v>
      </c>
      <c r="F74" s="4"/>
      <c r="G74" s="4">
        <f t="shared" ref="G74:G83" si="6">F74*E74</f>
        <v>0</v>
      </c>
      <c r="H74" s="3"/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35</v>
      </c>
      <c r="D75" s="3"/>
      <c r="E75" s="3">
        <f t="shared" si="4"/>
        <v>35</v>
      </c>
      <c r="F75" s="4"/>
      <c r="G75" s="4">
        <f t="shared" si="6"/>
        <v>0</v>
      </c>
      <c r="H75" s="3"/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7</v>
      </c>
      <c r="D76" s="3"/>
      <c r="E76" s="3">
        <f t="shared" si="4"/>
        <v>7</v>
      </c>
      <c r="F76" s="4"/>
      <c r="G76" s="4">
        <f t="shared" si="6"/>
        <v>0</v>
      </c>
      <c r="H76" s="3"/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1649100</v>
      </c>
      <c r="H85" s="5"/>
      <c r="I85" s="5"/>
      <c r="J85" s="5">
        <f>SUM(J3:J84)</f>
        <v>846850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26</v>
      </c>
      <c r="D89" s="3"/>
      <c r="E89" s="3">
        <f>C89+D89</f>
        <v>26</v>
      </c>
      <c r="F89" s="4">
        <v>1240</v>
      </c>
      <c r="G89" s="4">
        <f>F89*E89</f>
        <v>32240</v>
      </c>
      <c r="H89" s="3">
        <v>23</v>
      </c>
      <c r="I89" s="4">
        <f>F89</f>
        <v>1240</v>
      </c>
      <c r="J89" s="4">
        <f>I89*H89</f>
        <v>28520</v>
      </c>
    </row>
    <row r="90" spans="1:10" x14ac:dyDescent="0.25">
      <c r="A90" s="3">
        <v>2</v>
      </c>
      <c r="B90" t="s">
        <v>85</v>
      </c>
      <c r="C90" s="3">
        <v>16</v>
      </c>
      <c r="D90" s="3">
        <v>20</v>
      </c>
      <c r="E90" s="3">
        <f>C90+D90</f>
        <v>36</v>
      </c>
      <c r="F90" s="4">
        <v>1000</v>
      </c>
      <c r="G90" s="4">
        <f t="shared" ref="G90:G120" si="8">F90*E90</f>
        <v>36000</v>
      </c>
      <c r="H90" s="3">
        <v>25</v>
      </c>
      <c r="I90" s="4">
        <f t="shared" ref="I90:I120" si="9">F90</f>
        <v>1000</v>
      </c>
      <c r="J90" s="4">
        <f t="shared" ref="J90:J120" si="10">I90*H90</f>
        <v>25000</v>
      </c>
    </row>
    <row r="91" spans="1:10" x14ac:dyDescent="0.25">
      <c r="A91" s="3">
        <v>3</v>
      </c>
      <c r="B91" t="s">
        <v>86</v>
      </c>
      <c r="C91" s="3">
        <v>15</v>
      </c>
      <c r="D91" s="3">
        <v>10</v>
      </c>
      <c r="E91" s="3">
        <f t="shared" ref="E91:E120" si="11">C91+D91</f>
        <v>25</v>
      </c>
      <c r="F91" s="4">
        <v>1650</v>
      </c>
      <c r="G91" s="4">
        <f t="shared" si="8"/>
        <v>41250</v>
      </c>
      <c r="H91" s="3">
        <v>20</v>
      </c>
      <c r="I91" s="4">
        <f t="shared" si="9"/>
        <v>1650</v>
      </c>
      <c r="J91" s="4">
        <f t="shared" si="10"/>
        <v>33000</v>
      </c>
    </row>
    <row r="92" spans="1:10" x14ac:dyDescent="0.25">
      <c r="A92" s="3">
        <v>4</v>
      </c>
      <c r="B92" t="s">
        <v>87</v>
      </c>
      <c r="C92" s="3">
        <v>12</v>
      </c>
      <c r="D92" s="3"/>
      <c r="E92" s="3">
        <f t="shared" si="11"/>
        <v>12</v>
      </c>
      <c r="F92" s="4">
        <v>1650</v>
      </c>
      <c r="G92" s="4">
        <f t="shared" si="8"/>
        <v>19800</v>
      </c>
      <c r="H92" s="3">
        <v>4</v>
      </c>
      <c r="I92" s="4">
        <f t="shared" si="9"/>
        <v>1650</v>
      </c>
      <c r="J92" s="4">
        <f t="shared" si="10"/>
        <v>6600</v>
      </c>
    </row>
    <row r="93" spans="1:10" x14ac:dyDescent="0.25">
      <c r="A93" s="3">
        <v>5</v>
      </c>
      <c r="B93" t="s">
        <v>88</v>
      </c>
      <c r="C93" s="3">
        <v>15</v>
      </c>
      <c r="D93" s="3"/>
      <c r="E93" s="3">
        <f t="shared" si="11"/>
        <v>15</v>
      </c>
      <c r="F93" s="4">
        <v>1750</v>
      </c>
      <c r="G93" s="4">
        <f t="shared" si="8"/>
        <v>26250</v>
      </c>
      <c r="H93" s="3">
        <v>14</v>
      </c>
      <c r="I93" s="4">
        <f t="shared" si="9"/>
        <v>1750</v>
      </c>
      <c r="J93" s="4">
        <f t="shared" si="10"/>
        <v>24500</v>
      </c>
    </row>
    <row r="94" spans="1:10" x14ac:dyDescent="0.25">
      <c r="A94" s="3">
        <v>6</v>
      </c>
      <c r="B94" t="s">
        <v>89</v>
      </c>
      <c r="C94" s="3">
        <v>14</v>
      </c>
      <c r="D94" s="3">
        <v>6</v>
      </c>
      <c r="E94" s="3">
        <f t="shared" si="11"/>
        <v>20</v>
      </c>
      <c r="F94" s="4">
        <v>1500</v>
      </c>
      <c r="G94" s="4">
        <f t="shared" si="8"/>
        <v>30000</v>
      </c>
      <c r="H94" s="3">
        <v>14</v>
      </c>
      <c r="I94" s="4">
        <f t="shared" si="9"/>
        <v>1500</v>
      </c>
      <c r="J94" s="4">
        <f t="shared" si="10"/>
        <v>21000</v>
      </c>
    </row>
    <row r="95" spans="1:10" x14ac:dyDescent="0.25">
      <c r="A95" s="3">
        <v>7</v>
      </c>
      <c r="B95" t="s">
        <v>90</v>
      </c>
      <c r="C95" s="3">
        <v>7</v>
      </c>
      <c r="D95" s="3"/>
      <c r="E95" s="3">
        <f t="shared" si="11"/>
        <v>7</v>
      </c>
      <c r="F95" s="4">
        <v>1500</v>
      </c>
      <c r="G95" s="4">
        <f t="shared" si="8"/>
        <v>10500</v>
      </c>
      <c r="H95" s="3">
        <v>5</v>
      </c>
      <c r="I95" s="4">
        <f t="shared" si="9"/>
        <v>1500</v>
      </c>
      <c r="J95" s="4">
        <f t="shared" si="10"/>
        <v>7500</v>
      </c>
    </row>
    <row r="96" spans="1:10" x14ac:dyDescent="0.25">
      <c r="A96" s="3">
        <v>8</v>
      </c>
      <c r="B96" t="s">
        <v>91</v>
      </c>
      <c r="C96" s="3">
        <v>15</v>
      </c>
      <c r="D96" s="3"/>
      <c r="E96" s="3">
        <f t="shared" si="11"/>
        <v>15</v>
      </c>
      <c r="F96" s="4">
        <v>3350</v>
      </c>
      <c r="G96" s="4">
        <f t="shared" si="8"/>
        <v>50250</v>
      </c>
      <c r="H96" s="3">
        <v>11</v>
      </c>
      <c r="I96" s="4">
        <f t="shared" si="9"/>
        <v>3350</v>
      </c>
      <c r="J96" s="4">
        <f t="shared" si="10"/>
        <v>36850</v>
      </c>
    </row>
    <row r="97" spans="1:10" x14ac:dyDescent="0.25">
      <c r="A97" s="3">
        <v>9</v>
      </c>
      <c r="B97" t="s">
        <v>92</v>
      </c>
      <c r="C97" s="3">
        <v>1.5</v>
      </c>
      <c r="D97" s="3"/>
      <c r="E97" s="3">
        <f t="shared" si="11"/>
        <v>1.5</v>
      </c>
      <c r="F97" s="4">
        <v>23000</v>
      </c>
      <c r="G97" s="4">
        <f t="shared" si="8"/>
        <v>34500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13</v>
      </c>
      <c r="D98" s="3"/>
      <c r="E98" s="3">
        <f t="shared" si="11"/>
        <v>13</v>
      </c>
      <c r="F98" s="4">
        <v>9000</v>
      </c>
      <c r="G98" s="4">
        <f t="shared" si="8"/>
        <v>117000</v>
      </c>
      <c r="H98" s="3">
        <v>11</v>
      </c>
      <c r="I98" s="4">
        <f t="shared" si="9"/>
        <v>9000</v>
      </c>
      <c r="J98" s="4">
        <f t="shared" si="10"/>
        <v>99000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/>
      <c r="D100" s="3">
        <v>4</v>
      </c>
      <c r="E100" s="3">
        <f t="shared" si="11"/>
        <v>4</v>
      </c>
      <c r="F100" s="4">
        <v>8000</v>
      </c>
      <c r="G100" s="4">
        <f t="shared" si="8"/>
        <v>32000</v>
      </c>
      <c r="H100" s="3">
        <v>1</v>
      </c>
      <c r="I100" s="4">
        <f t="shared" si="9"/>
        <v>8000</v>
      </c>
      <c r="J100" s="4">
        <f t="shared" si="10"/>
        <v>8000</v>
      </c>
    </row>
    <row r="101" spans="1:10" x14ac:dyDescent="0.25">
      <c r="A101" s="3">
        <v>13</v>
      </c>
      <c r="B101" t="s">
        <v>96</v>
      </c>
      <c r="C101" s="3"/>
      <c r="D101" s="3"/>
      <c r="E101" s="3">
        <f t="shared" si="11"/>
        <v>0</v>
      </c>
      <c r="F101" s="4">
        <v>3300</v>
      </c>
      <c r="G101" s="4">
        <f t="shared" si="8"/>
        <v>0</v>
      </c>
      <c r="H101" s="3"/>
      <c r="I101" s="4">
        <f t="shared" si="9"/>
        <v>3300</v>
      </c>
      <c r="J101" s="4">
        <f t="shared" si="10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 t="shared" si="10"/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 t="shared" si="10"/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>
        <v>1</v>
      </c>
      <c r="D110" s="3"/>
      <c r="E110" s="3">
        <f t="shared" si="11"/>
        <v>1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5</v>
      </c>
      <c r="D111" s="3"/>
      <c r="E111" s="3">
        <f t="shared" si="11"/>
        <v>5</v>
      </c>
      <c r="F111" s="4">
        <v>4000</v>
      </c>
      <c r="G111" s="4">
        <f t="shared" si="8"/>
        <v>20000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605790</v>
      </c>
      <c r="H121" s="5"/>
      <c r="I121" s="5"/>
      <c r="J121" s="5">
        <f>SUM(J89:J120)</f>
        <v>382970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1229820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7072-0464-40FE-85F6-3972A772FD81}">
  <dimension ref="A1:J268"/>
  <sheetViews>
    <sheetView workbookViewId="0">
      <selection sqref="A1:XFD104857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0.25</v>
      </c>
      <c r="E3" s="3">
        <f t="shared" ref="E3:E66" si="0">C3+D3</f>
        <v>0.25</v>
      </c>
      <c r="F3" s="4">
        <v>36000</v>
      </c>
      <c r="G3" s="4">
        <f>F3*E3</f>
        <v>9000</v>
      </c>
      <c r="H3" s="3">
        <v>0.19</v>
      </c>
      <c r="I3" s="4">
        <f>F3</f>
        <v>36000</v>
      </c>
      <c r="J3" s="4">
        <f>I3*H3</f>
        <v>6840</v>
      </c>
    </row>
    <row r="4" spans="1:10" x14ac:dyDescent="0.25">
      <c r="A4" s="3">
        <v>2</v>
      </c>
      <c r="B4" t="s">
        <v>10</v>
      </c>
      <c r="C4" s="3"/>
      <c r="D4" s="3">
        <v>0.25</v>
      </c>
      <c r="E4" s="3">
        <f t="shared" si="0"/>
        <v>0.25</v>
      </c>
      <c r="F4" s="4">
        <v>36000</v>
      </c>
      <c r="G4" s="4">
        <f t="shared" ref="G4:G73" si="1">F4*E4</f>
        <v>9000</v>
      </c>
      <c r="H4" s="3">
        <v>0.1</v>
      </c>
      <c r="I4" s="4">
        <f t="shared" ref="I4:I73" si="2">F4</f>
        <v>36000</v>
      </c>
      <c r="J4" s="4">
        <f t="shared" ref="J4:J68" si="3">I4*H4</f>
        <v>3600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>
        <v>0.13</v>
      </c>
      <c r="D6" s="3"/>
      <c r="E6" s="3">
        <f t="shared" si="0"/>
        <v>0.13</v>
      </c>
      <c r="F6" s="4">
        <v>60000</v>
      </c>
      <c r="G6" s="4">
        <f t="shared" si="1"/>
        <v>7800</v>
      </c>
      <c r="H6" s="3"/>
      <c r="I6" s="4">
        <f t="shared" si="2"/>
        <v>60000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>
        <v>0.6</v>
      </c>
      <c r="D7" s="3"/>
      <c r="E7" s="3">
        <f t="shared" si="0"/>
        <v>0.6</v>
      </c>
      <c r="F7" s="4">
        <v>40000</v>
      </c>
      <c r="G7" s="4">
        <f t="shared" si="1"/>
        <v>24000</v>
      </c>
      <c r="H7" s="3">
        <v>0.5</v>
      </c>
      <c r="I7" s="4">
        <f t="shared" si="2"/>
        <v>40000</v>
      </c>
      <c r="J7" s="4">
        <f t="shared" si="3"/>
        <v>20000</v>
      </c>
    </row>
    <row r="8" spans="1:10" x14ac:dyDescent="0.25">
      <c r="A8" s="3">
        <v>6</v>
      </c>
      <c r="B8" t="s">
        <v>14</v>
      </c>
      <c r="C8" s="3"/>
      <c r="D8" s="3"/>
      <c r="E8" s="3">
        <f t="shared" si="0"/>
        <v>0</v>
      </c>
      <c r="F8" s="4">
        <v>50000</v>
      </c>
      <c r="G8" s="4">
        <f t="shared" si="1"/>
        <v>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>
        <v>0.5</v>
      </c>
      <c r="D9" s="3">
        <v>1</v>
      </c>
      <c r="E9" s="3">
        <f t="shared" si="0"/>
        <v>1.5</v>
      </c>
      <c r="F9" s="4">
        <v>13000</v>
      </c>
      <c r="G9" s="4">
        <f t="shared" si="1"/>
        <v>19500</v>
      </c>
      <c r="H9" s="3">
        <v>0.65</v>
      </c>
      <c r="I9" s="4">
        <f t="shared" si="2"/>
        <v>13000</v>
      </c>
      <c r="J9" s="4">
        <f t="shared" si="3"/>
        <v>8450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0.5</v>
      </c>
      <c r="D19" s="3">
        <v>0.5</v>
      </c>
      <c r="E19" s="3">
        <f t="shared" si="0"/>
        <v>1</v>
      </c>
      <c r="F19" s="4">
        <v>20000</v>
      </c>
      <c r="G19" s="4">
        <f t="shared" si="1"/>
        <v>20000</v>
      </c>
      <c r="H19" s="3">
        <v>0.5</v>
      </c>
      <c r="I19" s="4">
        <f t="shared" si="2"/>
        <v>20000</v>
      </c>
      <c r="J19" s="4">
        <f t="shared" si="3"/>
        <v>10000</v>
      </c>
    </row>
    <row r="20" spans="1:10" x14ac:dyDescent="0.25">
      <c r="A20" s="3">
        <v>18</v>
      </c>
      <c r="B20" t="s">
        <v>25</v>
      </c>
      <c r="C20" s="3">
        <v>2</v>
      </c>
      <c r="D20" s="3"/>
      <c r="E20" s="3">
        <f t="shared" si="0"/>
        <v>2</v>
      </c>
      <c r="F20" s="4">
        <v>11000</v>
      </c>
      <c r="G20" s="4">
        <f t="shared" si="1"/>
        <v>22000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>
        <v>0.25</v>
      </c>
      <c r="E22" s="3">
        <f t="shared" si="0"/>
        <v>0.25</v>
      </c>
      <c r="F22" s="4">
        <v>15000</v>
      </c>
      <c r="G22" s="4">
        <f t="shared" si="1"/>
        <v>3750</v>
      </c>
      <c r="H22" s="3">
        <v>0.11</v>
      </c>
      <c r="I22" s="4">
        <f t="shared" si="2"/>
        <v>15000</v>
      </c>
      <c r="J22" s="4">
        <f t="shared" si="3"/>
        <v>1650</v>
      </c>
    </row>
    <row r="23" spans="1:10" x14ac:dyDescent="0.25">
      <c r="A23" s="3">
        <v>21</v>
      </c>
      <c r="B23" t="s">
        <v>28</v>
      </c>
      <c r="C23" s="3">
        <v>2.6</v>
      </c>
      <c r="D23" s="3">
        <v>2</v>
      </c>
      <c r="E23" s="3">
        <f t="shared" si="0"/>
        <v>4.5999999999999996</v>
      </c>
      <c r="F23" s="4">
        <v>8000</v>
      </c>
      <c r="G23" s="4">
        <f>F23*E23</f>
        <v>36800</v>
      </c>
      <c r="H23" s="3">
        <v>2</v>
      </c>
      <c r="I23" s="4">
        <f t="shared" si="2"/>
        <v>8000</v>
      </c>
      <c r="J23" s="4">
        <f t="shared" si="3"/>
        <v>16000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0.5</v>
      </c>
      <c r="D26" s="3">
        <v>2</v>
      </c>
      <c r="E26" s="3">
        <f t="shared" si="0"/>
        <v>2.5</v>
      </c>
      <c r="F26" s="4">
        <v>11500</v>
      </c>
      <c r="G26" s="4">
        <f t="shared" si="1"/>
        <v>28750</v>
      </c>
      <c r="H26" s="3">
        <v>0.84</v>
      </c>
      <c r="I26" s="4">
        <f t="shared" si="2"/>
        <v>11500</v>
      </c>
      <c r="J26" s="4">
        <f t="shared" si="3"/>
        <v>9660</v>
      </c>
    </row>
    <row r="27" spans="1:10" x14ac:dyDescent="0.25">
      <c r="A27" s="3">
        <v>25</v>
      </c>
      <c r="B27" t="s">
        <v>32</v>
      </c>
      <c r="C27" s="3"/>
      <c r="D27" s="3"/>
      <c r="E27" s="3">
        <f t="shared" si="0"/>
        <v>0</v>
      </c>
      <c r="F27" s="4">
        <v>8500</v>
      </c>
      <c r="G27" s="4">
        <f t="shared" si="1"/>
        <v>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/>
      <c r="E29" s="3">
        <f t="shared" si="0"/>
        <v>0</v>
      </c>
      <c r="F29" s="4">
        <v>24000</v>
      </c>
      <c r="G29" s="4">
        <f t="shared" si="1"/>
        <v>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0.5</v>
      </c>
      <c r="D33" s="3"/>
      <c r="E33" s="3">
        <f t="shared" si="0"/>
        <v>0.5</v>
      </c>
      <c r="F33" s="4">
        <v>56000</v>
      </c>
      <c r="G33" s="4">
        <f t="shared" si="1"/>
        <v>28000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7</v>
      </c>
      <c r="D34" s="3"/>
      <c r="E34" s="3">
        <f t="shared" si="0"/>
        <v>7</v>
      </c>
      <c r="F34" s="4">
        <v>17500</v>
      </c>
      <c r="G34" s="4">
        <f t="shared" si="1"/>
        <v>122500</v>
      </c>
      <c r="H34" s="3"/>
      <c r="I34" s="4">
        <f t="shared" si="2"/>
        <v>17500</v>
      </c>
      <c r="J34" s="4">
        <f t="shared" si="3"/>
        <v>0</v>
      </c>
    </row>
    <row r="35" spans="1:10" x14ac:dyDescent="0.25">
      <c r="A35" s="3">
        <v>33</v>
      </c>
      <c r="B35" t="s">
        <v>40</v>
      </c>
      <c r="C35" s="3">
        <v>1</v>
      </c>
      <c r="D35" s="3"/>
      <c r="E35" s="3">
        <f t="shared" si="0"/>
        <v>1</v>
      </c>
      <c r="F35" s="4">
        <v>3000</v>
      </c>
      <c r="G35" s="4">
        <f t="shared" si="1"/>
        <v>3000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2</v>
      </c>
      <c r="E41" s="3">
        <f t="shared" si="0"/>
        <v>3</v>
      </c>
      <c r="F41" s="4">
        <v>83000</v>
      </c>
      <c r="G41" s="4">
        <f t="shared" si="1"/>
        <v>249000</v>
      </c>
      <c r="H41" s="3"/>
      <c r="I41" s="4">
        <f t="shared" si="2"/>
        <v>83000</v>
      </c>
      <c r="J41" s="4">
        <f t="shared" si="3"/>
        <v>0</v>
      </c>
    </row>
    <row r="42" spans="1:10" x14ac:dyDescent="0.25">
      <c r="A42" s="3">
        <v>40</v>
      </c>
      <c r="B42" t="s">
        <v>47</v>
      </c>
      <c r="C42" s="3">
        <v>1</v>
      </c>
      <c r="D42" s="3">
        <v>4</v>
      </c>
      <c r="E42" s="3">
        <f t="shared" si="0"/>
        <v>5</v>
      </c>
      <c r="F42" s="4">
        <v>21000</v>
      </c>
      <c r="G42" s="4">
        <f t="shared" si="1"/>
        <v>105000</v>
      </c>
      <c r="H42" s="3">
        <v>2</v>
      </c>
      <c r="I42" s="4">
        <f t="shared" si="2"/>
        <v>21000</v>
      </c>
      <c r="J42" s="4">
        <f t="shared" si="3"/>
        <v>42000</v>
      </c>
    </row>
    <row r="43" spans="1:10" x14ac:dyDescent="0.25">
      <c r="A43" s="3">
        <v>41</v>
      </c>
      <c r="B43" t="s">
        <v>48</v>
      </c>
      <c r="C43" s="3">
        <v>6.5</v>
      </c>
      <c r="D43" s="3"/>
      <c r="E43" s="3">
        <f t="shared" si="0"/>
        <v>6.5</v>
      </c>
      <c r="F43" s="4">
        <v>25000</v>
      </c>
      <c r="G43" s="4">
        <f t="shared" si="1"/>
        <v>162500</v>
      </c>
      <c r="H43" s="3">
        <v>4.25</v>
      </c>
      <c r="I43" s="4">
        <f t="shared" si="2"/>
        <v>25000</v>
      </c>
      <c r="J43" s="4">
        <f t="shared" si="3"/>
        <v>106250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3</v>
      </c>
      <c r="D45" s="3">
        <v>2</v>
      </c>
      <c r="E45" s="3">
        <f t="shared" si="0"/>
        <v>5</v>
      </c>
      <c r="F45" s="4">
        <v>15500</v>
      </c>
      <c r="G45" s="4">
        <f t="shared" si="1"/>
        <v>77500</v>
      </c>
      <c r="H45" s="3">
        <v>3</v>
      </c>
      <c r="I45" s="4">
        <f t="shared" si="2"/>
        <v>15500</v>
      </c>
      <c r="J45" s="4">
        <f t="shared" si="3"/>
        <v>46500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13</v>
      </c>
      <c r="D49" s="3"/>
      <c r="E49" s="3">
        <f t="shared" si="0"/>
        <v>13</v>
      </c>
      <c r="F49" s="4">
        <v>6000</v>
      </c>
      <c r="G49" s="4">
        <f t="shared" si="1"/>
        <v>78000</v>
      </c>
      <c r="H49" s="3">
        <v>10</v>
      </c>
      <c r="I49" s="4">
        <f t="shared" si="2"/>
        <v>6000</v>
      </c>
      <c r="J49" s="4">
        <f t="shared" si="3"/>
        <v>60000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</v>
      </c>
      <c r="D51" s="3">
        <v>2</v>
      </c>
      <c r="E51" s="3">
        <f t="shared" si="0"/>
        <v>3</v>
      </c>
      <c r="F51" s="4">
        <v>12000</v>
      </c>
      <c r="G51" s="4">
        <f>F51*E51</f>
        <v>36000</v>
      </c>
      <c r="H51" s="3">
        <v>1</v>
      </c>
      <c r="I51" s="4">
        <f t="shared" si="2"/>
        <v>12000</v>
      </c>
      <c r="J51" s="4">
        <f t="shared" si="3"/>
        <v>12000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14</v>
      </c>
      <c r="D61" s="3">
        <v>21</v>
      </c>
      <c r="E61" s="3">
        <f t="shared" si="0"/>
        <v>35</v>
      </c>
      <c r="F61" s="4">
        <v>5700</v>
      </c>
      <c r="G61" s="4">
        <f t="shared" si="1"/>
        <v>199500</v>
      </c>
      <c r="H61" s="3"/>
      <c r="I61" s="4">
        <f t="shared" si="2"/>
        <v>5700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>
        <v>0.25</v>
      </c>
      <c r="D63" s="3">
        <v>1</v>
      </c>
      <c r="E63" s="3">
        <f t="shared" si="0"/>
        <v>1.25</v>
      </c>
      <c r="F63" s="4">
        <v>39000</v>
      </c>
      <c r="G63" s="4">
        <f t="shared" si="1"/>
        <v>48750</v>
      </c>
      <c r="H63" s="3">
        <v>0.25</v>
      </c>
      <c r="I63" s="4">
        <f t="shared" si="2"/>
        <v>39000</v>
      </c>
      <c r="J63" s="4">
        <f t="shared" si="3"/>
        <v>9750</v>
      </c>
    </row>
    <row r="64" spans="1:10" x14ac:dyDescent="0.25">
      <c r="A64" s="3">
        <v>62</v>
      </c>
      <c r="B64" t="s">
        <v>69</v>
      </c>
      <c r="C64" s="3"/>
      <c r="D64" s="3"/>
      <c r="E64" s="3">
        <f t="shared" si="0"/>
        <v>0</v>
      </c>
      <c r="F64" s="4">
        <v>4625</v>
      </c>
      <c r="G64" s="4">
        <f t="shared" si="1"/>
        <v>0</v>
      </c>
      <c r="H64" s="3"/>
      <c r="I64" s="4">
        <f t="shared" si="2"/>
        <v>4625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/>
      <c r="D65" s="3">
        <v>10</v>
      </c>
      <c r="E65" s="3">
        <f t="shared" si="0"/>
        <v>10</v>
      </c>
      <c r="F65" s="4">
        <v>21000</v>
      </c>
      <c r="G65" s="4">
        <f t="shared" si="1"/>
        <v>210000</v>
      </c>
      <c r="H65" s="3">
        <v>8</v>
      </c>
      <c r="I65" s="4">
        <f t="shared" si="2"/>
        <v>21000</v>
      </c>
      <c r="J65" s="4">
        <f t="shared" si="3"/>
        <v>168000</v>
      </c>
    </row>
    <row r="66" spans="1:10" x14ac:dyDescent="0.25">
      <c r="A66" s="3">
        <v>64</v>
      </c>
      <c r="B66" t="s">
        <v>115</v>
      </c>
      <c r="C66" s="3"/>
      <c r="D66" s="3"/>
      <c r="E66" s="3">
        <f t="shared" si="0"/>
        <v>0</v>
      </c>
      <c r="F66" s="4">
        <v>100000</v>
      </c>
      <c r="G66" s="4">
        <f t="shared" si="1"/>
        <v>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>
        <v>1</v>
      </c>
      <c r="D67" s="3">
        <v>2</v>
      </c>
      <c r="E67" s="3">
        <f t="shared" ref="E67:E83" si="4">C67+D67</f>
        <v>3</v>
      </c>
      <c r="F67" s="4">
        <v>17500</v>
      </c>
      <c r="G67" s="4">
        <f t="shared" si="1"/>
        <v>52500</v>
      </c>
      <c r="H67" s="3">
        <v>1</v>
      </c>
      <c r="I67" s="4">
        <f t="shared" si="2"/>
        <v>17500</v>
      </c>
      <c r="J67" s="4">
        <f t="shared" si="3"/>
        <v>17500</v>
      </c>
    </row>
    <row r="68" spans="1:10" x14ac:dyDescent="0.25">
      <c r="A68" s="3">
        <v>66</v>
      </c>
      <c r="B68" t="s">
        <v>72</v>
      </c>
      <c r="C68" s="3">
        <v>4</v>
      </c>
      <c r="D68" s="3">
        <v>2</v>
      </c>
      <c r="E68" s="3">
        <f t="shared" si="4"/>
        <v>6</v>
      </c>
      <c r="F68" s="4">
        <v>8000</v>
      </c>
      <c r="G68" s="4">
        <f t="shared" si="1"/>
        <v>48000</v>
      </c>
      <c r="H68" s="3">
        <v>4.5</v>
      </c>
      <c r="I68" s="4">
        <f t="shared" si="2"/>
        <v>8000</v>
      </c>
      <c r="J68" s="4">
        <f t="shared" si="3"/>
        <v>36000</v>
      </c>
    </row>
    <row r="69" spans="1:10" x14ac:dyDescent="0.25">
      <c r="A69" s="3">
        <v>67</v>
      </c>
      <c r="B69" t="s">
        <v>73</v>
      </c>
      <c r="C69" s="3">
        <v>0.5</v>
      </c>
      <c r="D69" s="3">
        <v>2</v>
      </c>
      <c r="E69" s="3">
        <f t="shared" si="4"/>
        <v>2.5</v>
      </c>
      <c r="F69" s="4"/>
      <c r="G69" s="4">
        <f t="shared" si="1"/>
        <v>0</v>
      </c>
      <c r="H69" s="3">
        <v>1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2</v>
      </c>
      <c r="D70" s="3"/>
      <c r="E70" s="3">
        <f t="shared" si="4"/>
        <v>2</v>
      </c>
      <c r="F70" s="4">
        <v>24000</v>
      </c>
      <c r="G70" s="4">
        <f t="shared" si="1"/>
        <v>48000</v>
      </c>
      <c r="H70" s="3">
        <v>1.5</v>
      </c>
      <c r="I70" s="4">
        <f t="shared" si="2"/>
        <v>24000</v>
      </c>
      <c r="J70" s="4">
        <f t="shared" si="5"/>
        <v>36000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1.5</v>
      </c>
      <c r="D72" s="3">
        <v>2</v>
      </c>
      <c r="E72" s="3">
        <f t="shared" si="4"/>
        <v>3.5</v>
      </c>
      <c r="F72" s="4">
        <v>15000</v>
      </c>
      <c r="G72" s="4">
        <f>F72*E72</f>
        <v>52500</v>
      </c>
      <c r="H72" s="3">
        <v>1.25</v>
      </c>
      <c r="I72" s="4">
        <f t="shared" si="2"/>
        <v>15000</v>
      </c>
      <c r="J72" s="4">
        <f t="shared" si="5"/>
        <v>18750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28</v>
      </c>
      <c r="D74" s="3"/>
      <c r="E74" s="3">
        <f t="shared" si="4"/>
        <v>28</v>
      </c>
      <c r="F74" s="4"/>
      <c r="G74" s="4">
        <f t="shared" ref="G74:G83" si="6">F74*E74</f>
        <v>0</v>
      </c>
      <c r="H74" s="3">
        <v>28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32</v>
      </c>
      <c r="D75" s="3"/>
      <c r="E75" s="3">
        <f t="shared" si="4"/>
        <v>32</v>
      </c>
      <c r="F75" s="4"/>
      <c r="G75" s="4">
        <f t="shared" si="6"/>
        <v>0</v>
      </c>
      <c r="H75" s="3">
        <v>31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4</v>
      </c>
      <c r="D76" s="3"/>
      <c r="E76" s="3">
        <f t="shared" si="4"/>
        <v>4</v>
      </c>
      <c r="F76" s="4"/>
      <c r="G76" s="4">
        <f t="shared" si="6"/>
        <v>0</v>
      </c>
      <c r="H76" s="3">
        <v>3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1701350</v>
      </c>
      <c r="H85" s="5"/>
      <c r="I85" s="5"/>
      <c r="J85" s="5">
        <f>SUM(J3:J84)</f>
        <v>628950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23</v>
      </c>
      <c r="D89" s="3"/>
      <c r="E89" s="3">
        <f>C89+D89</f>
        <v>23</v>
      </c>
      <c r="F89" s="4">
        <v>1240</v>
      </c>
      <c r="G89" s="4">
        <f>F89*E89</f>
        <v>28520</v>
      </c>
      <c r="H89" s="3">
        <v>22</v>
      </c>
      <c r="I89" s="4">
        <f>F89</f>
        <v>1240</v>
      </c>
      <c r="J89" s="4">
        <f>I89*H89</f>
        <v>27280</v>
      </c>
    </row>
    <row r="90" spans="1:10" x14ac:dyDescent="0.25">
      <c r="A90" s="3">
        <v>2</v>
      </c>
      <c r="B90" t="s">
        <v>85</v>
      </c>
      <c r="C90" s="3">
        <v>25</v>
      </c>
      <c r="D90" s="3">
        <v>11</v>
      </c>
      <c r="E90" s="3">
        <f>C90+D90</f>
        <v>36</v>
      </c>
      <c r="F90" s="4">
        <v>1000</v>
      </c>
      <c r="G90" s="4">
        <f t="shared" ref="G90:G120" si="8">F90*E90</f>
        <v>36000</v>
      </c>
      <c r="H90" s="3">
        <v>13</v>
      </c>
      <c r="I90" s="4">
        <f t="shared" ref="I90:I120" si="9">F90</f>
        <v>1000</v>
      </c>
      <c r="J90" s="4">
        <f t="shared" ref="J90:J120" si="10">I90*H90</f>
        <v>13000</v>
      </c>
    </row>
    <row r="91" spans="1:10" x14ac:dyDescent="0.25">
      <c r="A91" s="3">
        <v>3</v>
      </c>
      <c r="B91" t="s">
        <v>86</v>
      </c>
      <c r="C91" s="3">
        <v>20</v>
      </c>
      <c r="D91" s="3">
        <v>10</v>
      </c>
      <c r="E91" s="3">
        <f t="shared" ref="E91:E120" si="11">C91+D91</f>
        <v>30</v>
      </c>
      <c r="F91" s="4">
        <v>1650</v>
      </c>
      <c r="G91" s="4">
        <f t="shared" si="8"/>
        <v>49500</v>
      </c>
      <c r="H91" s="3">
        <v>14</v>
      </c>
      <c r="I91" s="4">
        <f t="shared" si="9"/>
        <v>1650</v>
      </c>
      <c r="J91" s="4">
        <f t="shared" si="10"/>
        <v>23100</v>
      </c>
    </row>
    <row r="92" spans="1:10" x14ac:dyDescent="0.25">
      <c r="A92" s="3">
        <v>4</v>
      </c>
      <c r="B92" t="s">
        <v>87</v>
      </c>
      <c r="C92" s="3">
        <v>5</v>
      </c>
      <c r="D92" s="3"/>
      <c r="E92" s="3">
        <f t="shared" si="11"/>
        <v>5</v>
      </c>
      <c r="F92" s="4">
        <v>1650</v>
      </c>
      <c r="G92" s="4">
        <f t="shared" si="8"/>
        <v>8250</v>
      </c>
      <c r="H92" s="3">
        <v>5</v>
      </c>
      <c r="I92" s="4">
        <f t="shared" si="9"/>
        <v>1650</v>
      </c>
      <c r="J92" s="4">
        <f t="shared" si="10"/>
        <v>8250</v>
      </c>
    </row>
    <row r="93" spans="1:10" x14ac:dyDescent="0.25">
      <c r="A93" s="3">
        <v>5</v>
      </c>
      <c r="B93" t="s">
        <v>88</v>
      </c>
      <c r="C93" s="3">
        <v>14</v>
      </c>
      <c r="D93" s="3"/>
      <c r="E93" s="3">
        <f t="shared" si="11"/>
        <v>14</v>
      </c>
      <c r="F93" s="4">
        <v>1750</v>
      </c>
      <c r="G93" s="4">
        <f t="shared" si="8"/>
        <v>24500</v>
      </c>
      <c r="H93" s="3">
        <v>13</v>
      </c>
      <c r="I93" s="4">
        <f t="shared" si="9"/>
        <v>1750</v>
      </c>
      <c r="J93" s="4">
        <f t="shared" si="10"/>
        <v>22750</v>
      </c>
    </row>
    <row r="94" spans="1:10" x14ac:dyDescent="0.25">
      <c r="A94" s="3">
        <v>6</v>
      </c>
      <c r="B94" t="s">
        <v>89</v>
      </c>
      <c r="C94" s="3">
        <v>14</v>
      </c>
      <c r="D94" s="3">
        <v>6</v>
      </c>
      <c r="E94" s="3">
        <f t="shared" si="11"/>
        <v>20</v>
      </c>
      <c r="F94" s="4">
        <v>1500</v>
      </c>
      <c r="G94" s="4">
        <f t="shared" si="8"/>
        <v>30000</v>
      </c>
      <c r="H94" s="3">
        <v>13</v>
      </c>
      <c r="I94" s="4">
        <f t="shared" si="9"/>
        <v>1500</v>
      </c>
      <c r="J94" s="4">
        <f t="shared" si="10"/>
        <v>19500</v>
      </c>
    </row>
    <row r="95" spans="1:10" x14ac:dyDescent="0.25">
      <c r="A95" s="3">
        <v>7</v>
      </c>
      <c r="B95" t="s">
        <v>90</v>
      </c>
      <c r="C95" s="3">
        <v>5</v>
      </c>
      <c r="D95" s="3">
        <v>6</v>
      </c>
      <c r="E95" s="3">
        <f t="shared" si="11"/>
        <v>11</v>
      </c>
      <c r="F95" s="4">
        <v>1500</v>
      </c>
      <c r="G95" s="4">
        <f t="shared" si="8"/>
        <v>16500</v>
      </c>
      <c r="H95" s="3">
        <v>9</v>
      </c>
      <c r="I95" s="4">
        <f t="shared" si="9"/>
        <v>1500</v>
      </c>
      <c r="J95" s="4">
        <f t="shared" si="10"/>
        <v>13500</v>
      </c>
    </row>
    <row r="96" spans="1:10" x14ac:dyDescent="0.25">
      <c r="A96" s="3">
        <v>8</v>
      </c>
      <c r="B96" t="s">
        <v>91</v>
      </c>
      <c r="C96" s="3">
        <v>11</v>
      </c>
      <c r="D96" s="3"/>
      <c r="E96" s="3">
        <f t="shared" si="11"/>
        <v>11</v>
      </c>
      <c r="F96" s="4">
        <v>3350</v>
      </c>
      <c r="G96" s="4">
        <f t="shared" si="8"/>
        <v>36850</v>
      </c>
      <c r="H96" s="3">
        <v>7</v>
      </c>
      <c r="I96" s="4">
        <f t="shared" si="9"/>
        <v>3350</v>
      </c>
      <c r="J96" s="4">
        <f t="shared" si="10"/>
        <v>23450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1.5</v>
      </c>
      <c r="I97" s="4">
        <f t="shared" si="9"/>
        <v>23000</v>
      </c>
      <c r="J97" s="4">
        <f t="shared" si="10"/>
        <v>34500</v>
      </c>
    </row>
    <row r="98" spans="1:10" x14ac:dyDescent="0.25">
      <c r="A98" s="3">
        <v>10</v>
      </c>
      <c r="B98" t="s">
        <v>93</v>
      </c>
      <c r="C98" s="3">
        <v>11</v>
      </c>
      <c r="D98" s="3"/>
      <c r="E98" s="3">
        <f t="shared" si="11"/>
        <v>11</v>
      </c>
      <c r="F98" s="4">
        <v>9000</v>
      </c>
      <c r="G98" s="4">
        <f t="shared" si="8"/>
        <v>99000</v>
      </c>
      <c r="H98" s="3">
        <v>11</v>
      </c>
      <c r="I98" s="4">
        <f t="shared" si="9"/>
        <v>9000</v>
      </c>
      <c r="J98" s="4">
        <f t="shared" si="10"/>
        <v>99000</v>
      </c>
    </row>
    <row r="99" spans="1:10" x14ac:dyDescent="0.25">
      <c r="A99" s="3">
        <v>11</v>
      </c>
      <c r="B99" t="s">
        <v>94</v>
      </c>
      <c r="C99" s="3">
        <v>1.5</v>
      </c>
      <c r="D99" s="3">
        <v>1</v>
      </c>
      <c r="E99" s="3">
        <f t="shared" si="11"/>
        <v>2.5</v>
      </c>
      <c r="F99" s="4">
        <v>6000</v>
      </c>
      <c r="G99" s="4">
        <f t="shared" si="8"/>
        <v>15000</v>
      </c>
      <c r="H99" s="3">
        <v>2</v>
      </c>
      <c r="I99" s="4">
        <f t="shared" si="9"/>
        <v>6000</v>
      </c>
      <c r="J99" s="4">
        <f t="shared" si="10"/>
        <v>12000</v>
      </c>
    </row>
    <row r="100" spans="1:10" x14ac:dyDescent="0.25">
      <c r="A100" s="3">
        <v>12</v>
      </c>
      <c r="B100" t="s">
        <v>95</v>
      </c>
      <c r="C100" s="3">
        <v>1</v>
      </c>
      <c r="D100" s="3">
        <v>5</v>
      </c>
      <c r="E100" s="3">
        <f t="shared" si="11"/>
        <v>6</v>
      </c>
      <c r="F100" s="4">
        <v>8000</v>
      </c>
      <c r="G100" s="4">
        <f t="shared" si="8"/>
        <v>48000</v>
      </c>
      <c r="H100" s="3">
        <v>1</v>
      </c>
      <c r="I100" s="4">
        <f t="shared" si="9"/>
        <v>8000</v>
      </c>
      <c r="J100" s="4">
        <f t="shared" si="10"/>
        <v>8000</v>
      </c>
    </row>
    <row r="101" spans="1:10" x14ac:dyDescent="0.25">
      <c r="A101" s="3">
        <v>13</v>
      </c>
      <c r="B101" t="s">
        <v>96</v>
      </c>
      <c r="C101" s="3"/>
      <c r="D101" s="3"/>
      <c r="E101" s="3">
        <f t="shared" si="11"/>
        <v>0</v>
      </c>
      <c r="F101" s="4">
        <v>3300</v>
      </c>
      <c r="G101" s="4">
        <f t="shared" si="8"/>
        <v>0</v>
      </c>
      <c r="H101" s="3"/>
      <c r="I101" s="4">
        <f t="shared" si="9"/>
        <v>3300</v>
      </c>
      <c r="J101" s="4">
        <f t="shared" si="10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 t="shared" si="10"/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 t="shared" si="10"/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4</v>
      </c>
      <c r="E111" s="3">
        <f t="shared" si="11"/>
        <v>8</v>
      </c>
      <c r="F111" s="4">
        <v>4000</v>
      </c>
      <c r="G111" s="4">
        <f t="shared" si="8"/>
        <v>32000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4</v>
      </c>
      <c r="I112" s="4">
        <f t="shared" si="9"/>
        <v>24000</v>
      </c>
      <c r="J112" s="4">
        <f t="shared" si="10"/>
        <v>96000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614120</v>
      </c>
      <c r="H121" s="5"/>
      <c r="I121" s="5"/>
      <c r="J121" s="5">
        <f>SUM(J89:J120)</f>
        <v>416330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1045280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5E59-CF7D-4118-A065-7FD251D6EDE6}">
  <dimension ref="A1:J268"/>
  <sheetViews>
    <sheetView workbookViewId="0">
      <selection activeCell="E16" sqref="E16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>
        <v>0.19</v>
      </c>
      <c r="D3" s="3">
        <v>1</v>
      </c>
      <c r="E3" s="3">
        <f t="shared" ref="E3:E66" si="0">C3+D3</f>
        <v>1.19</v>
      </c>
      <c r="F3" s="4">
        <v>36000</v>
      </c>
      <c r="G3" s="4">
        <f>F3*E3</f>
        <v>42840</v>
      </c>
      <c r="H3" s="3"/>
      <c r="I3" s="4">
        <f>F3</f>
        <v>36000</v>
      </c>
      <c r="J3" s="4">
        <f>I3*H3</f>
        <v>0</v>
      </c>
    </row>
    <row r="4" spans="1:10" x14ac:dyDescent="0.25">
      <c r="A4" s="3">
        <v>2</v>
      </c>
      <c r="B4" t="s">
        <v>10</v>
      </c>
      <c r="C4" s="3">
        <v>0.1</v>
      </c>
      <c r="D4" s="3">
        <v>0.25</v>
      </c>
      <c r="E4" s="3">
        <f t="shared" si="0"/>
        <v>0.35</v>
      </c>
      <c r="F4" s="4">
        <v>36000</v>
      </c>
      <c r="G4" s="4">
        <f t="shared" ref="G4:G73" si="1">F4*E4</f>
        <v>12600</v>
      </c>
      <c r="H4" s="3">
        <v>0.5</v>
      </c>
      <c r="I4" s="4">
        <f t="shared" ref="I4:I73" si="2">F4</f>
        <v>36000</v>
      </c>
      <c r="J4" s="4">
        <f t="shared" ref="J4:J68" si="3">I4*H4</f>
        <v>18000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>
        <v>60000</v>
      </c>
      <c r="G6" s="4">
        <f t="shared" si="1"/>
        <v>0</v>
      </c>
      <c r="H6" s="3"/>
      <c r="I6" s="4">
        <f t="shared" si="2"/>
        <v>60000</v>
      </c>
      <c r="J6" s="4">
        <f t="shared" si="3"/>
        <v>0</v>
      </c>
    </row>
    <row r="7" spans="1:10" x14ac:dyDescent="0.25">
      <c r="A7" s="3">
        <v>5</v>
      </c>
      <c r="B7" t="s">
        <v>13</v>
      </c>
      <c r="C7" s="3">
        <v>0.5</v>
      </c>
      <c r="D7" s="3">
        <v>0.5</v>
      </c>
      <c r="E7" s="3">
        <f t="shared" si="0"/>
        <v>1</v>
      </c>
      <c r="F7" s="4">
        <v>40000</v>
      </c>
      <c r="G7" s="4">
        <f t="shared" si="1"/>
        <v>40000</v>
      </c>
      <c r="H7" s="3">
        <v>0.5</v>
      </c>
      <c r="I7" s="4">
        <f t="shared" si="2"/>
        <v>40000</v>
      </c>
      <c r="J7" s="4">
        <f t="shared" si="3"/>
        <v>20000</v>
      </c>
    </row>
    <row r="8" spans="1:10" x14ac:dyDescent="0.25">
      <c r="A8" s="3">
        <v>6</v>
      </c>
      <c r="B8" t="s">
        <v>14</v>
      </c>
      <c r="C8" s="3"/>
      <c r="D8" s="3">
        <v>1</v>
      </c>
      <c r="E8" s="3">
        <f t="shared" si="0"/>
        <v>1</v>
      </c>
      <c r="F8" s="4">
        <v>50000</v>
      </c>
      <c r="G8" s="4">
        <f t="shared" si="1"/>
        <v>50000</v>
      </c>
      <c r="H8" s="3">
        <v>0.5</v>
      </c>
      <c r="I8" s="4">
        <f t="shared" si="2"/>
        <v>50000</v>
      </c>
      <c r="J8" s="4">
        <f t="shared" si="3"/>
        <v>25000</v>
      </c>
    </row>
    <row r="9" spans="1:10" x14ac:dyDescent="0.25">
      <c r="A9" s="3">
        <v>7</v>
      </c>
      <c r="B9" t="s">
        <v>15</v>
      </c>
      <c r="C9" s="3">
        <v>0.65</v>
      </c>
      <c r="D9" s="3"/>
      <c r="E9" s="3">
        <f t="shared" si="0"/>
        <v>0.65</v>
      </c>
      <c r="F9" s="4">
        <v>13000</v>
      </c>
      <c r="G9" s="4">
        <f t="shared" si="1"/>
        <v>8450</v>
      </c>
      <c r="H9" s="3">
        <v>0.25</v>
      </c>
      <c r="I9" s="4">
        <f t="shared" si="2"/>
        <v>13000</v>
      </c>
      <c r="J9" s="4">
        <f t="shared" si="3"/>
        <v>3250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0.5</v>
      </c>
      <c r="D19" s="3">
        <v>1</v>
      </c>
      <c r="E19" s="3">
        <f t="shared" si="0"/>
        <v>1.5</v>
      </c>
      <c r="F19" s="4">
        <v>20000</v>
      </c>
      <c r="G19" s="4">
        <f t="shared" si="1"/>
        <v>30000</v>
      </c>
      <c r="H19" s="3">
        <v>0.43</v>
      </c>
      <c r="I19" s="4">
        <f t="shared" si="2"/>
        <v>20000</v>
      </c>
      <c r="J19" s="4">
        <f t="shared" si="3"/>
        <v>8600</v>
      </c>
    </row>
    <row r="20" spans="1:10" x14ac:dyDescent="0.25">
      <c r="A20" s="3">
        <v>18</v>
      </c>
      <c r="B20" t="s">
        <v>25</v>
      </c>
      <c r="C20" s="3"/>
      <c r="D20" s="3">
        <v>3</v>
      </c>
      <c r="E20" s="3">
        <f t="shared" si="0"/>
        <v>3</v>
      </c>
      <c r="F20" s="4">
        <v>11000</v>
      </c>
      <c r="G20" s="4">
        <f t="shared" si="1"/>
        <v>33000</v>
      </c>
      <c r="H20" s="3">
        <v>2</v>
      </c>
      <c r="I20" s="4">
        <f t="shared" si="2"/>
        <v>11000</v>
      </c>
      <c r="J20" s="4">
        <f t="shared" si="3"/>
        <v>22000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0.11</v>
      </c>
      <c r="D22" s="3">
        <v>0.5</v>
      </c>
      <c r="E22" s="3">
        <f t="shared" si="0"/>
        <v>0.61</v>
      </c>
      <c r="F22" s="4">
        <v>15000</v>
      </c>
      <c r="G22" s="4">
        <f t="shared" si="1"/>
        <v>9150</v>
      </c>
      <c r="H22" s="3">
        <v>0.5</v>
      </c>
      <c r="I22" s="4">
        <f t="shared" si="2"/>
        <v>15000</v>
      </c>
      <c r="J22" s="4">
        <f t="shared" si="3"/>
        <v>7500</v>
      </c>
    </row>
    <row r="23" spans="1:10" x14ac:dyDescent="0.25">
      <c r="A23" s="3">
        <v>21</v>
      </c>
      <c r="B23" t="s">
        <v>28</v>
      </c>
      <c r="C23" s="3">
        <v>2</v>
      </c>
      <c r="D23" s="3">
        <v>1</v>
      </c>
      <c r="E23" s="3">
        <f t="shared" si="0"/>
        <v>3</v>
      </c>
      <c r="F23" s="4">
        <v>8000</v>
      </c>
      <c r="G23" s="4">
        <f>F23*E23</f>
        <v>24000</v>
      </c>
      <c r="H23" s="3">
        <v>2.7</v>
      </c>
      <c r="I23" s="4">
        <f t="shared" si="2"/>
        <v>8000</v>
      </c>
      <c r="J23" s="4">
        <f t="shared" si="3"/>
        <v>21600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0.84</v>
      </c>
      <c r="D26" s="3"/>
      <c r="E26" s="3">
        <f t="shared" si="0"/>
        <v>0.84</v>
      </c>
      <c r="F26" s="4">
        <v>11500</v>
      </c>
      <c r="G26" s="4">
        <f t="shared" si="1"/>
        <v>9660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/>
      <c r="D27" s="3"/>
      <c r="E27" s="3">
        <f t="shared" si="0"/>
        <v>0</v>
      </c>
      <c r="F27" s="4">
        <v>8500</v>
      </c>
      <c r="G27" s="4">
        <f t="shared" si="1"/>
        <v>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0.25</v>
      </c>
      <c r="D29" s="3"/>
      <c r="E29" s="3">
        <f t="shared" si="0"/>
        <v>0.25</v>
      </c>
      <c r="F29" s="4">
        <v>24000</v>
      </c>
      <c r="G29" s="4">
        <f t="shared" si="1"/>
        <v>6000</v>
      </c>
      <c r="H29" s="3">
        <v>0.23</v>
      </c>
      <c r="I29" s="4">
        <f t="shared" si="2"/>
        <v>24000</v>
      </c>
      <c r="J29" s="4">
        <f t="shared" si="3"/>
        <v>5520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>
        <v>0.25</v>
      </c>
      <c r="I33" s="4">
        <f t="shared" si="2"/>
        <v>56000</v>
      </c>
      <c r="J33" s="4">
        <f t="shared" si="3"/>
        <v>14000</v>
      </c>
    </row>
    <row r="34" spans="1:10" x14ac:dyDescent="0.25">
      <c r="A34" s="3">
        <v>32</v>
      </c>
      <c r="B34" t="s">
        <v>39</v>
      </c>
      <c r="C34" s="3"/>
      <c r="D34" s="3"/>
      <c r="E34" s="3">
        <f t="shared" si="0"/>
        <v>0</v>
      </c>
      <c r="F34" s="4">
        <v>17500</v>
      </c>
      <c r="G34" s="4">
        <f t="shared" si="1"/>
        <v>0</v>
      </c>
      <c r="H34" s="3">
        <v>2</v>
      </c>
      <c r="I34" s="4">
        <f t="shared" si="2"/>
        <v>17500</v>
      </c>
      <c r="J34" s="4">
        <f t="shared" si="3"/>
        <v>35000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/>
      <c r="D41" s="3">
        <v>3</v>
      </c>
      <c r="E41" s="3">
        <f t="shared" si="0"/>
        <v>3</v>
      </c>
      <c r="F41" s="4">
        <v>83000</v>
      </c>
      <c r="G41" s="4">
        <f t="shared" si="1"/>
        <v>249000</v>
      </c>
      <c r="H41" s="3">
        <v>2</v>
      </c>
      <c r="I41" s="4">
        <f t="shared" si="2"/>
        <v>83000</v>
      </c>
      <c r="J41" s="4">
        <f t="shared" si="3"/>
        <v>166000</v>
      </c>
    </row>
    <row r="42" spans="1:10" x14ac:dyDescent="0.25">
      <c r="A42" s="3">
        <v>40</v>
      </c>
      <c r="B42" t="s">
        <v>47</v>
      </c>
      <c r="C42" s="3">
        <v>2</v>
      </c>
      <c r="D42" s="3">
        <v>3</v>
      </c>
      <c r="E42" s="3">
        <f t="shared" si="0"/>
        <v>5</v>
      </c>
      <c r="F42" s="4">
        <v>21000</v>
      </c>
      <c r="G42" s="4">
        <f t="shared" si="1"/>
        <v>105000</v>
      </c>
      <c r="H42" s="3">
        <v>2.5</v>
      </c>
      <c r="I42" s="4">
        <f t="shared" si="2"/>
        <v>21000</v>
      </c>
      <c r="J42" s="4">
        <f t="shared" si="3"/>
        <v>52500</v>
      </c>
    </row>
    <row r="43" spans="1:10" x14ac:dyDescent="0.25">
      <c r="A43" s="3">
        <v>41</v>
      </c>
      <c r="B43" t="s">
        <v>48</v>
      </c>
      <c r="C43" s="3">
        <v>4.25</v>
      </c>
      <c r="D43" s="3"/>
      <c r="E43" s="3">
        <f t="shared" si="0"/>
        <v>4.25</v>
      </c>
      <c r="F43" s="4">
        <v>25000</v>
      </c>
      <c r="G43" s="4">
        <f t="shared" si="1"/>
        <v>106250</v>
      </c>
      <c r="H43" s="3">
        <v>3</v>
      </c>
      <c r="I43" s="4">
        <f t="shared" si="2"/>
        <v>25000</v>
      </c>
      <c r="J43" s="4">
        <f t="shared" si="3"/>
        <v>75000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3</v>
      </c>
      <c r="D45" s="3">
        <v>2</v>
      </c>
      <c r="E45" s="3">
        <f t="shared" si="0"/>
        <v>5</v>
      </c>
      <c r="F45" s="4">
        <v>15500</v>
      </c>
      <c r="G45" s="4">
        <f t="shared" si="1"/>
        <v>77500</v>
      </c>
      <c r="H45" s="3">
        <v>3</v>
      </c>
      <c r="I45" s="4">
        <f t="shared" si="2"/>
        <v>15500</v>
      </c>
      <c r="J45" s="4">
        <f t="shared" si="3"/>
        <v>46500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10</v>
      </c>
      <c r="D49" s="3"/>
      <c r="E49" s="3">
        <f t="shared" si="0"/>
        <v>10</v>
      </c>
      <c r="F49" s="4">
        <v>6000</v>
      </c>
      <c r="G49" s="4">
        <f t="shared" si="1"/>
        <v>60000</v>
      </c>
      <c r="H49" s="3">
        <v>8</v>
      </c>
      <c r="I49" s="4">
        <f t="shared" si="2"/>
        <v>6000</v>
      </c>
      <c r="J49" s="4">
        <f t="shared" si="3"/>
        <v>48000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</v>
      </c>
      <c r="D51" s="3">
        <v>2</v>
      </c>
      <c r="E51" s="3">
        <f t="shared" si="0"/>
        <v>3</v>
      </c>
      <c r="F51" s="4">
        <v>12000</v>
      </c>
      <c r="G51" s="4">
        <f>F51*E51</f>
        <v>36000</v>
      </c>
      <c r="H51" s="3">
        <v>2</v>
      </c>
      <c r="I51" s="4">
        <f t="shared" si="2"/>
        <v>12000</v>
      </c>
      <c r="J51" s="4">
        <f t="shared" si="3"/>
        <v>24000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>
        <v>5</v>
      </c>
      <c r="E54" s="3">
        <f t="shared" si="0"/>
        <v>5</v>
      </c>
      <c r="F54" s="4">
        <v>6000</v>
      </c>
      <c r="G54" s="4">
        <f t="shared" si="1"/>
        <v>30000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>
        <v>6</v>
      </c>
      <c r="E57" s="3">
        <f t="shared" si="0"/>
        <v>6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>
        <v>21</v>
      </c>
      <c r="E61" s="3">
        <f t="shared" si="0"/>
        <v>21</v>
      </c>
      <c r="F61" s="4">
        <v>5700</v>
      </c>
      <c r="G61" s="4">
        <f t="shared" si="1"/>
        <v>119700</v>
      </c>
      <c r="H61" s="3">
        <v>19</v>
      </c>
      <c r="I61" s="4">
        <f t="shared" si="2"/>
        <v>5700</v>
      </c>
      <c r="J61" s="4">
        <f t="shared" si="3"/>
        <v>108300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>
        <v>0.25</v>
      </c>
      <c r="D63" s="3">
        <v>1</v>
      </c>
      <c r="E63" s="3">
        <f t="shared" si="0"/>
        <v>1.25</v>
      </c>
      <c r="F63" s="4">
        <v>39000</v>
      </c>
      <c r="G63" s="4">
        <f t="shared" si="1"/>
        <v>48750</v>
      </c>
      <c r="H63" s="3">
        <v>0.5</v>
      </c>
      <c r="I63" s="4">
        <f t="shared" si="2"/>
        <v>39000</v>
      </c>
      <c r="J63" s="4">
        <f t="shared" si="3"/>
        <v>19500</v>
      </c>
    </row>
    <row r="64" spans="1:10" x14ac:dyDescent="0.25">
      <c r="A64" s="3">
        <v>62</v>
      </c>
      <c r="B64" t="s">
        <v>69</v>
      </c>
      <c r="C64" s="3"/>
      <c r="D64" s="3">
        <v>14</v>
      </c>
      <c r="E64" s="3">
        <f t="shared" si="0"/>
        <v>14</v>
      </c>
      <c r="F64" s="4">
        <v>4625</v>
      </c>
      <c r="G64" s="4">
        <f t="shared" si="1"/>
        <v>64750</v>
      </c>
      <c r="H64" s="3">
        <v>11</v>
      </c>
      <c r="I64" s="4">
        <f t="shared" si="2"/>
        <v>4625</v>
      </c>
      <c r="J64" s="4">
        <f t="shared" si="3"/>
        <v>50875</v>
      </c>
    </row>
    <row r="65" spans="1:10" x14ac:dyDescent="0.25">
      <c r="A65" s="3">
        <v>63</v>
      </c>
      <c r="B65" t="s">
        <v>70</v>
      </c>
      <c r="C65" s="3">
        <v>8</v>
      </c>
      <c r="D65" s="3"/>
      <c r="E65" s="3">
        <f t="shared" si="0"/>
        <v>8</v>
      </c>
      <c r="F65" s="4">
        <v>21000</v>
      </c>
      <c r="G65" s="4">
        <f t="shared" si="1"/>
        <v>168000</v>
      </c>
      <c r="H65" s="3">
        <v>6</v>
      </c>
      <c r="I65" s="4">
        <f t="shared" si="2"/>
        <v>21000</v>
      </c>
      <c r="J65" s="4">
        <f t="shared" si="3"/>
        <v>126000</v>
      </c>
    </row>
    <row r="66" spans="1:10" x14ac:dyDescent="0.25">
      <c r="A66" s="3">
        <v>64</v>
      </c>
      <c r="B66" t="s">
        <v>115</v>
      </c>
      <c r="C66" s="3"/>
      <c r="D66" s="3">
        <v>1</v>
      </c>
      <c r="E66" s="3">
        <f t="shared" si="0"/>
        <v>1</v>
      </c>
      <c r="F66" s="4">
        <v>100000</v>
      </c>
      <c r="G66" s="4">
        <f t="shared" si="1"/>
        <v>100000</v>
      </c>
      <c r="H66" s="3">
        <v>0.6</v>
      </c>
      <c r="I66" s="4">
        <f t="shared" si="2"/>
        <v>100000</v>
      </c>
      <c r="J66" s="4">
        <f t="shared" si="3"/>
        <v>60000</v>
      </c>
    </row>
    <row r="67" spans="1:10" x14ac:dyDescent="0.25">
      <c r="A67" s="3">
        <v>65</v>
      </c>
      <c r="B67" t="s">
        <v>71</v>
      </c>
      <c r="C67" s="3">
        <v>1</v>
      </c>
      <c r="D67" s="3">
        <v>1</v>
      </c>
      <c r="E67" s="3">
        <f t="shared" ref="E67:E83" si="4">C67+D67</f>
        <v>2</v>
      </c>
      <c r="F67" s="4">
        <v>17500</v>
      </c>
      <c r="G67" s="4">
        <f t="shared" si="1"/>
        <v>35000</v>
      </c>
      <c r="H67" s="3">
        <v>1</v>
      </c>
      <c r="I67" s="4">
        <f t="shared" si="2"/>
        <v>17500</v>
      </c>
      <c r="J67" s="4">
        <f t="shared" si="3"/>
        <v>17500</v>
      </c>
    </row>
    <row r="68" spans="1:10" x14ac:dyDescent="0.25">
      <c r="A68" s="3">
        <v>66</v>
      </c>
      <c r="B68" t="s">
        <v>72</v>
      </c>
      <c r="C68" s="3">
        <v>4.5</v>
      </c>
      <c r="D68" s="3"/>
      <c r="E68" s="3">
        <f t="shared" si="4"/>
        <v>4.5</v>
      </c>
      <c r="F68" s="4">
        <v>8000</v>
      </c>
      <c r="G68" s="4">
        <f t="shared" si="1"/>
        <v>36000</v>
      </c>
      <c r="H68" s="3">
        <v>3</v>
      </c>
      <c r="I68" s="4">
        <f t="shared" si="2"/>
        <v>8000</v>
      </c>
      <c r="J68" s="4">
        <f t="shared" si="3"/>
        <v>24000</v>
      </c>
    </row>
    <row r="69" spans="1:10" x14ac:dyDescent="0.25">
      <c r="A69" s="3">
        <v>67</v>
      </c>
      <c r="B69" t="s">
        <v>73</v>
      </c>
      <c r="C69" s="3">
        <v>1</v>
      </c>
      <c r="D69" s="3">
        <v>2</v>
      </c>
      <c r="E69" s="3">
        <f t="shared" si="4"/>
        <v>3</v>
      </c>
      <c r="F69" s="4"/>
      <c r="G69" s="4">
        <f t="shared" si="1"/>
        <v>0</v>
      </c>
      <c r="H69" s="3">
        <v>2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1.5</v>
      </c>
      <c r="D70" s="3"/>
      <c r="E70" s="3">
        <f t="shared" si="4"/>
        <v>1.5</v>
      </c>
      <c r="F70" s="4">
        <v>24000</v>
      </c>
      <c r="G70" s="4">
        <f t="shared" si="1"/>
        <v>36000</v>
      </c>
      <c r="H70" s="3"/>
      <c r="I70" s="4">
        <f t="shared" si="2"/>
        <v>24000</v>
      </c>
      <c r="J70" s="4">
        <f t="shared" si="5"/>
        <v>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1.25</v>
      </c>
      <c r="D72" s="3">
        <v>2</v>
      </c>
      <c r="E72" s="3">
        <f t="shared" si="4"/>
        <v>3.25</v>
      </c>
      <c r="F72" s="4">
        <v>15000</v>
      </c>
      <c r="G72" s="4">
        <f>F72*E72</f>
        <v>48750</v>
      </c>
      <c r="H72" s="3">
        <v>2.25</v>
      </c>
      <c r="I72" s="4">
        <f t="shared" si="2"/>
        <v>15000</v>
      </c>
      <c r="J72" s="4">
        <f t="shared" si="5"/>
        <v>33750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28</v>
      </c>
      <c r="D74" s="3"/>
      <c r="E74" s="3">
        <f t="shared" si="4"/>
        <v>28</v>
      </c>
      <c r="F74" s="4"/>
      <c r="G74" s="4">
        <f t="shared" ref="G74:G83" si="6">F74*E74</f>
        <v>0</v>
      </c>
      <c r="H74" s="3">
        <v>27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31</v>
      </c>
      <c r="D75" s="3"/>
      <c r="E75" s="3">
        <f t="shared" si="4"/>
        <v>31</v>
      </c>
      <c r="F75" s="4"/>
      <c r="G75" s="4">
        <f t="shared" si="6"/>
        <v>0</v>
      </c>
      <c r="H75" s="3">
        <v>28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3</v>
      </c>
      <c r="D76" s="3"/>
      <c r="E76" s="3">
        <f t="shared" si="4"/>
        <v>3</v>
      </c>
      <c r="F76" s="4"/>
      <c r="G76" s="4">
        <f t="shared" si="6"/>
        <v>0</v>
      </c>
      <c r="H76" s="3">
        <v>3</v>
      </c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1586400</v>
      </c>
      <c r="H85" s="5"/>
      <c r="I85" s="5"/>
      <c r="J85" s="5">
        <f>SUM(J3:J84)</f>
        <v>1032395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22</v>
      </c>
      <c r="D89" s="3"/>
      <c r="E89" s="3">
        <f>C89+D89</f>
        <v>22</v>
      </c>
      <c r="F89" s="4">
        <v>1240</v>
      </c>
      <c r="G89" s="4">
        <f>F89*E89</f>
        <v>27280</v>
      </c>
      <c r="H89" s="3">
        <v>19</v>
      </c>
      <c r="I89" s="4">
        <f>F89</f>
        <v>1240</v>
      </c>
      <c r="J89" s="4">
        <f>I89*H89</f>
        <v>23560</v>
      </c>
    </row>
    <row r="90" spans="1:10" x14ac:dyDescent="0.25">
      <c r="A90" s="3">
        <v>2</v>
      </c>
      <c r="B90" t="s">
        <v>85</v>
      </c>
      <c r="C90" s="3">
        <v>13</v>
      </c>
      <c r="D90" s="3">
        <v>11</v>
      </c>
      <c r="E90" s="3">
        <f>C90+D90</f>
        <v>24</v>
      </c>
      <c r="F90" s="4">
        <v>1000</v>
      </c>
      <c r="G90" s="4">
        <f t="shared" ref="G90:G120" si="8">F90*E90</f>
        <v>24000</v>
      </c>
      <c r="H90" s="3">
        <v>13</v>
      </c>
      <c r="I90" s="4">
        <f t="shared" ref="I90:I120" si="9">F90</f>
        <v>1000</v>
      </c>
      <c r="J90" s="4">
        <f t="shared" ref="J90:J120" si="10">I90*H90</f>
        <v>13000</v>
      </c>
    </row>
    <row r="91" spans="1:10" x14ac:dyDescent="0.25">
      <c r="A91" s="3">
        <v>3</v>
      </c>
      <c r="B91" t="s">
        <v>86</v>
      </c>
      <c r="C91" s="3">
        <v>14</v>
      </c>
      <c r="D91" s="3"/>
      <c r="E91" s="3">
        <f t="shared" ref="E91:E120" si="11">C91+D91</f>
        <v>14</v>
      </c>
      <c r="F91" s="4">
        <v>1650</v>
      </c>
      <c r="G91" s="4">
        <f t="shared" si="8"/>
        <v>23100</v>
      </c>
      <c r="H91" s="3">
        <v>14</v>
      </c>
      <c r="I91" s="4">
        <f t="shared" si="9"/>
        <v>1650</v>
      </c>
      <c r="J91" s="4">
        <f t="shared" si="10"/>
        <v>23100</v>
      </c>
    </row>
    <row r="92" spans="1:10" x14ac:dyDescent="0.25">
      <c r="A92" s="3">
        <v>4</v>
      </c>
      <c r="B92" t="s">
        <v>87</v>
      </c>
      <c r="C92" s="3">
        <v>5</v>
      </c>
      <c r="D92" s="3">
        <v>10</v>
      </c>
      <c r="E92" s="3">
        <f t="shared" si="11"/>
        <v>15</v>
      </c>
      <c r="F92" s="4">
        <v>1650</v>
      </c>
      <c r="G92" s="4">
        <f t="shared" si="8"/>
        <v>24750</v>
      </c>
      <c r="H92" s="3">
        <v>12</v>
      </c>
      <c r="I92" s="4">
        <f t="shared" si="9"/>
        <v>1650</v>
      </c>
      <c r="J92" s="4">
        <f t="shared" si="10"/>
        <v>19800</v>
      </c>
    </row>
    <row r="93" spans="1:10" x14ac:dyDescent="0.25">
      <c r="A93" s="3">
        <v>5</v>
      </c>
      <c r="B93" t="s">
        <v>88</v>
      </c>
      <c r="C93" s="3">
        <v>13</v>
      </c>
      <c r="D93" s="3"/>
      <c r="E93" s="3">
        <f t="shared" si="11"/>
        <v>13</v>
      </c>
      <c r="F93" s="4">
        <v>1750</v>
      </c>
      <c r="G93" s="4">
        <f t="shared" si="8"/>
        <v>22750</v>
      </c>
      <c r="H93" s="3">
        <v>10</v>
      </c>
      <c r="I93" s="4">
        <f t="shared" si="9"/>
        <v>1750</v>
      </c>
      <c r="J93" s="4">
        <f t="shared" si="10"/>
        <v>17500</v>
      </c>
    </row>
    <row r="94" spans="1:10" x14ac:dyDescent="0.25">
      <c r="A94" s="3">
        <v>6</v>
      </c>
      <c r="B94" t="s">
        <v>89</v>
      </c>
      <c r="C94" s="3">
        <v>13</v>
      </c>
      <c r="D94" s="3">
        <v>6</v>
      </c>
      <c r="E94" s="3">
        <f t="shared" si="11"/>
        <v>19</v>
      </c>
      <c r="F94" s="4">
        <v>1500</v>
      </c>
      <c r="G94" s="4">
        <f t="shared" si="8"/>
        <v>28500</v>
      </c>
      <c r="H94" s="3">
        <v>10</v>
      </c>
      <c r="I94" s="4">
        <f t="shared" si="9"/>
        <v>1500</v>
      </c>
      <c r="J94" s="4">
        <f t="shared" si="10"/>
        <v>15000</v>
      </c>
    </row>
    <row r="95" spans="1:10" x14ac:dyDescent="0.25">
      <c r="A95" s="3">
        <v>7</v>
      </c>
      <c r="B95" t="s">
        <v>90</v>
      </c>
      <c r="C95" s="3">
        <v>9</v>
      </c>
      <c r="D95" s="3"/>
      <c r="E95" s="3">
        <f t="shared" si="11"/>
        <v>9</v>
      </c>
      <c r="F95" s="4">
        <v>1500</v>
      </c>
      <c r="G95" s="4">
        <f t="shared" si="8"/>
        <v>13500</v>
      </c>
      <c r="H95" s="3">
        <v>7</v>
      </c>
      <c r="I95" s="4">
        <f t="shared" si="9"/>
        <v>1500</v>
      </c>
      <c r="J95" s="4">
        <f t="shared" si="10"/>
        <v>10500</v>
      </c>
    </row>
    <row r="96" spans="1:10" x14ac:dyDescent="0.25">
      <c r="A96" s="3">
        <v>8</v>
      </c>
      <c r="B96" t="s">
        <v>91</v>
      </c>
      <c r="C96" s="3">
        <v>7</v>
      </c>
      <c r="D96" s="3"/>
      <c r="E96" s="3">
        <f t="shared" si="11"/>
        <v>7</v>
      </c>
      <c r="F96" s="4">
        <v>3350</v>
      </c>
      <c r="G96" s="4">
        <f t="shared" si="8"/>
        <v>23450</v>
      </c>
      <c r="H96" s="3">
        <v>5</v>
      </c>
      <c r="I96" s="4">
        <f t="shared" si="9"/>
        <v>3350</v>
      </c>
      <c r="J96" s="4">
        <f t="shared" si="10"/>
        <v>16750</v>
      </c>
    </row>
    <row r="97" spans="1:10" x14ac:dyDescent="0.25">
      <c r="A97" s="3">
        <v>9</v>
      </c>
      <c r="B97" t="s">
        <v>92</v>
      </c>
      <c r="C97" s="3">
        <v>1.5</v>
      </c>
      <c r="D97" s="3"/>
      <c r="E97" s="3">
        <f t="shared" si="11"/>
        <v>1.5</v>
      </c>
      <c r="F97" s="4">
        <v>23000</v>
      </c>
      <c r="G97" s="4">
        <f t="shared" si="8"/>
        <v>34500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11</v>
      </c>
      <c r="D98" s="3"/>
      <c r="E98" s="3">
        <f t="shared" si="11"/>
        <v>11</v>
      </c>
      <c r="F98" s="4">
        <v>9000</v>
      </c>
      <c r="G98" s="4">
        <f t="shared" si="8"/>
        <v>99000</v>
      </c>
      <c r="H98" s="3">
        <v>9</v>
      </c>
      <c r="I98" s="4">
        <f t="shared" si="9"/>
        <v>9000</v>
      </c>
      <c r="J98" s="4">
        <f t="shared" si="10"/>
        <v>81000</v>
      </c>
    </row>
    <row r="99" spans="1:10" x14ac:dyDescent="0.25">
      <c r="A99" s="3">
        <v>11</v>
      </c>
      <c r="B99" t="s">
        <v>94</v>
      </c>
      <c r="C99" s="3">
        <v>2</v>
      </c>
      <c r="D99" s="3"/>
      <c r="E99" s="3">
        <f t="shared" si="11"/>
        <v>2</v>
      </c>
      <c r="F99" s="4">
        <v>6000</v>
      </c>
      <c r="G99" s="4">
        <f t="shared" si="8"/>
        <v>12000</v>
      </c>
      <c r="H99" s="3">
        <v>1.5</v>
      </c>
      <c r="I99" s="4">
        <f t="shared" si="9"/>
        <v>6000</v>
      </c>
      <c r="J99" s="4">
        <f t="shared" si="10"/>
        <v>9000</v>
      </c>
    </row>
    <row r="100" spans="1:10" x14ac:dyDescent="0.25">
      <c r="A100" s="3">
        <v>12</v>
      </c>
      <c r="B100" t="s">
        <v>95</v>
      </c>
      <c r="C100" s="3">
        <v>1</v>
      </c>
      <c r="D100" s="3">
        <v>5</v>
      </c>
      <c r="E100" s="3">
        <f t="shared" si="11"/>
        <v>6</v>
      </c>
      <c r="F100" s="4">
        <v>8000</v>
      </c>
      <c r="G100" s="4">
        <f t="shared" si="8"/>
        <v>48000</v>
      </c>
      <c r="H100" s="3">
        <v>3</v>
      </c>
      <c r="I100" s="4">
        <f t="shared" si="9"/>
        <v>8000</v>
      </c>
      <c r="J100" s="4">
        <f t="shared" si="10"/>
        <v>24000</v>
      </c>
    </row>
    <row r="101" spans="1:10" x14ac:dyDescent="0.25">
      <c r="A101" s="3">
        <v>13</v>
      </c>
      <c r="B101" t="s">
        <v>96</v>
      </c>
      <c r="C101" s="3"/>
      <c r="D101" s="3"/>
      <c r="E101" s="3">
        <f t="shared" si="11"/>
        <v>0</v>
      </c>
      <c r="F101" s="4">
        <v>3300</v>
      </c>
      <c r="G101" s="4">
        <f t="shared" si="8"/>
        <v>0</v>
      </c>
      <c r="H101" s="3"/>
      <c r="I101" s="4">
        <f t="shared" si="9"/>
        <v>3300</v>
      </c>
      <c r="J101" s="4">
        <f t="shared" si="10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4</v>
      </c>
      <c r="E111" s="3">
        <f t="shared" si="11"/>
        <v>8</v>
      </c>
      <c r="F111" s="4">
        <v>4000</v>
      </c>
      <c r="G111" s="4">
        <f t="shared" si="8"/>
        <v>32000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>
        <v>4</v>
      </c>
      <c r="D112" s="3"/>
      <c r="E112" s="3">
        <f t="shared" si="11"/>
        <v>4</v>
      </c>
      <c r="F112" s="4">
        <v>24000</v>
      </c>
      <c r="G112" s="4">
        <f t="shared" si="8"/>
        <v>96000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508830</v>
      </c>
      <c r="H121" s="5"/>
      <c r="I121" s="5"/>
      <c r="J121" s="5">
        <f>SUM(J89:J120)</f>
        <v>340210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1372605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A9A6-A701-4523-8E44-3AD5A1EC832A}">
  <dimension ref="A1:J268"/>
  <sheetViews>
    <sheetView workbookViewId="0">
      <selection activeCell="D18" sqref="D18"/>
    </sheetView>
  </sheetViews>
  <sheetFormatPr defaultRowHeight="15" x14ac:dyDescent="0.25"/>
  <cols>
    <col min="1" max="1" width="4.28515625" customWidth="1"/>
    <col min="2" max="2" width="24" customWidth="1"/>
    <col min="3" max="3" width="18.5703125" customWidth="1"/>
    <col min="4" max="4" width="12.5703125" customWidth="1"/>
    <col min="5" max="5" width="13.7109375" customWidth="1"/>
    <col min="6" max="6" width="14.7109375" customWidth="1"/>
    <col min="7" max="7" width="15.42578125" customWidth="1"/>
    <col min="8" max="8" width="17.28515625" customWidth="1"/>
    <col min="9" max="9" width="18.5703125" customWidth="1"/>
    <col min="10" max="10" width="16.28515625" customWidth="1"/>
  </cols>
  <sheetData>
    <row r="1" spans="1:10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0" x14ac:dyDescent="0.25">
      <c r="A3" s="3">
        <v>1</v>
      </c>
      <c r="B3" t="s">
        <v>9</v>
      </c>
      <c r="C3" s="3"/>
      <c r="D3" s="3">
        <v>0.5</v>
      </c>
      <c r="E3" s="3">
        <f t="shared" ref="E3:E66" si="0">C3+D3</f>
        <v>0.5</v>
      </c>
      <c r="F3" s="4">
        <v>36000</v>
      </c>
      <c r="G3" s="4">
        <f>F3*E3</f>
        <v>18000</v>
      </c>
      <c r="H3" s="3">
        <v>0.1</v>
      </c>
      <c r="I3" s="4">
        <f>F3</f>
        <v>36000</v>
      </c>
      <c r="J3" s="4">
        <f>I3*H3</f>
        <v>3600</v>
      </c>
    </row>
    <row r="4" spans="1:10" x14ac:dyDescent="0.25">
      <c r="A4" s="3">
        <v>2</v>
      </c>
      <c r="B4" t="s">
        <v>10</v>
      </c>
      <c r="C4" s="3">
        <v>0.5</v>
      </c>
      <c r="D4" s="3"/>
      <c r="E4" s="3">
        <f t="shared" si="0"/>
        <v>0.5</v>
      </c>
      <c r="F4" s="4">
        <v>36000</v>
      </c>
      <c r="G4" s="4">
        <f t="shared" ref="G4:G73" si="1">F4*E4</f>
        <v>18000</v>
      </c>
      <c r="H4" s="3">
        <v>0.25</v>
      </c>
      <c r="I4" s="4">
        <f t="shared" ref="I4:I73" si="2">F4</f>
        <v>36000</v>
      </c>
      <c r="J4" s="4">
        <f t="shared" ref="J4:J68" si="3">I4*H4</f>
        <v>9000</v>
      </c>
    </row>
    <row r="5" spans="1:10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0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>
        <v>60000</v>
      </c>
      <c r="G6" s="4">
        <f t="shared" si="1"/>
        <v>0</v>
      </c>
      <c r="H6" s="3">
        <v>0.17</v>
      </c>
      <c r="I6" s="4">
        <f t="shared" si="2"/>
        <v>60000</v>
      </c>
      <c r="J6" s="4">
        <f t="shared" si="3"/>
        <v>10200</v>
      </c>
    </row>
    <row r="7" spans="1:10" x14ac:dyDescent="0.25">
      <c r="A7" s="3">
        <v>5</v>
      </c>
      <c r="B7" t="s">
        <v>13</v>
      </c>
      <c r="C7" s="3">
        <v>0.5</v>
      </c>
      <c r="D7" s="3"/>
      <c r="E7" s="3">
        <f t="shared" si="0"/>
        <v>0.5</v>
      </c>
      <c r="F7" s="4">
        <v>40000</v>
      </c>
      <c r="G7" s="4">
        <f t="shared" si="1"/>
        <v>20000</v>
      </c>
      <c r="H7" s="3">
        <v>0.1</v>
      </c>
      <c r="I7" s="4">
        <f t="shared" si="2"/>
        <v>40000</v>
      </c>
      <c r="J7" s="4">
        <f t="shared" si="3"/>
        <v>4000</v>
      </c>
    </row>
    <row r="8" spans="1:10" x14ac:dyDescent="0.25">
      <c r="A8" s="3">
        <v>6</v>
      </c>
      <c r="B8" t="s">
        <v>14</v>
      </c>
      <c r="C8" s="3">
        <v>0.5</v>
      </c>
      <c r="D8" s="3">
        <v>0.25</v>
      </c>
      <c r="E8" s="3">
        <f t="shared" si="0"/>
        <v>0.75</v>
      </c>
      <c r="F8" s="4">
        <v>50000</v>
      </c>
      <c r="G8" s="4">
        <f t="shared" si="1"/>
        <v>37500</v>
      </c>
      <c r="H8" s="3"/>
      <c r="I8" s="4">
        <f t="shared" si="2"/>
        <v>50000</v>
      </c>
      <c r="J8" s="4">
        <f t="shared" si="3"/>
        <v>0</v>
      </c>
    </row>
    <row r="9" spans="1:10" x14ac:dyDescent="0.25">
      <c r="A9" s="3">
        <v>7</v>
      </c>
      <c r="B9" t="s">
        <v>15</v>
      </c>
      <c r="C9" s="3">
        <v>0.25</v>
      </c>
      <c r="D9" s="3">
        <v>1</v>
      </c>
      <c r="E9" s="3">
        <f t="shared" si="0"/>
        <v>1.25</v>
      </c>
      <c r="F9" s="4">
        <v>13000</v>
      </c>
      <c r="G9" s="4">
        <f t="shared" si="1"/>
        <v>16250</v>
      </c>
      <c r="H9" s="3"/>
      <c r="I9" s="4">
        <f t="shared" si="2"/>
        <v>13000</v>
      </c>
      <c r="J9" s="4">
        <f t="shared" si="3"/>
        <v>0</v>
      </c>
    </row>
    <row r="10" spans="1:10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</row>
    <row r="11" spans="1:10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0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0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0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0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0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0.43</v>
      </c>
      <c r="D19" s="3">
        <v>0.5</v>
      </c>
      <c r="E19" s="3">
        <f t="shared" si="0"/>
        <v>0.92999999999999994</v>
      </c>
      <c r="F19" s="4">
        <v>20000</v>
      </c>
      <c r="G19" s="4">
        <f t="shared" si="1"/>
        <v>18600</v>
      </c>
      <c r="H19" s="3">
        <v>0.5</v>
      </c>
      <c r="I19" s="4">
        <f t="shared" si="2"/>
        <v>20000</v>
      </c>
      <c r="J19" s="4">
        <f t="shared" si="3"/>
        <v>10000</v>
      </c>
    </row>
    <row r="20" spans="1:10" x14ac:dyDescent="0.25">
      <c r="A20" s="3">
        <v>18</v>
      </c>
      <c r="B20" t="s">
        <v>25</v>
      </c>
      <c r="C20" s="3">
        <v>2</v>
      </c>
      <c r="D20" s="3"/>
      <c r="E20" s="3">
        <f t="shared" si="0"/>
        <v>2</v>
      </c>
      <c r="F20" s="4">
        <v>11000</v>
      </c>
      <c r="G20" s="4">
        <f t="shared" si="1"/>
        <v>22000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0.5</v>
      </c>
      <c r="D22" s="3"/>
      <c r="E22" s="3">
        <f t="shared" si="0"/>
        <v>0.5</v>
      </c>
      <c r="F22" s="4">
        <v>15000</v>
      </c>
      <c r="G22" s="4">
        <f t="shared" si="1"/>
        <v>7500</v>
      </c>
      <c r="H22" s="3">
        <v>0.5</v>
      </c>
      <c r="I22" s="4">
        <f t="shared" si="2"/>
        <v>15000</v>
      </c>
      <c r="J22" s="4">
        <f t="shared" si="3"/>
        <v>7500</v>
      </c>
    </row>
    <row r="23" spans="1:10" x14ac:dyDescent="0.25">
      <c r="A23" s="3">
        <v>21</v>
      </c>
      <c r="B23" t="s">
        <v>28</v>
      </c>
      <c r="C23" s="3">
        <v>2.7</v>
      </c>
      <c r="D23" s="3">
        <v>1</v>
      </c>
      <c r="E23" s="3">
        <f t="shared" si="0"/>
        <v>3.7</v>
      </c>
      <c r="F23" s="4">
        <v>8000</v>
      </c>
      <c r="G23" s="4">
        <f>F23*E23</f>
        <v>29600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/>
      <c r="E26" s="3">
        <f t="shared" si="0"/>
        <v>0</v>
      </c>
      <c r="F26" s="4">
        <v>11500</v>
      </c>
      <c r="G26" s="4">
        <f t="shared" si="1"/>
        <v>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/>
      <c r="D27" s="3"/>
      <c r="E27" s="3">
        <f t="shared" si="0"/>
        <v>0</v>
      </c>
      <c r="F27" s="4">
        <v>8500</v>
      </c>
      <c r="G27" s="4">
        <f t="shared" si="1"/>
        <v>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0.23</v>
      </c>
      <c r="D29" s="3"/>
      <c r="E29" s="3">
        <f t="shared" si="0"/>
        <v>0.23</v>
      </c>
      <c r="F29" s="4">
        <v>24000</v>
      </c>
      <c r="G29" s="4">
        <f t="shared" si="1"/>
        <v>5520</v>
      </c>
      <c r="H29" s="3">
        <v>0.18</v>
      </c>
      <c r="I29" s="4">
        <f t="shared" si="2"/>
        <v>24000</v>
      </c>
      <c r="J29" s="4">
        <f t="shared" si="3"/>
        <v>4320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0.25</v>
      </c>
      <c r="D33" s="3"/>
      <c r="E33" s="3">
        <f t="shared" si="0"/>
        <v>0.25</v>
      </c>
      <c r="F33" s="4">
        <v>56000</v>
      </c>
      <c r="G33" s="4">
        <f t="shared" si="1"/>
        <v>14000</v>
      </c>
      <c r="H33" s="3">
        <v>0.25</v>
      </c>
      <c r="I33" s="4">
        <f t="shared" si="2"/>
        <v>56000</v>
      </c>
      <c r="J33" s="4">
        <f t="shared" si="3"/>
        <v>14000</v>
      </c>
    </row>
    <row r="34" spans="1:10" x14ac:dyDescent="0.25">
      <c r="A34" s="3">
        <v>32</v>
      </c>
      <c r="B34" t="s">
        <v>39</v>
      </c>
      <c r="C34" s="3">
        <v>2</v>
      </c>
      <c r="D34" s="3">
        <v>4</v>
      </c>
      <c r="E34" s="3">
        <f t="shared" si="0"/>
        <v>6</v>
      </c>
      <c r="F34" s="4">
        <v>17500</v>
      </c>
      <c r="G34" s="4">
        <f t="shared" si="1"/>
        <v>105000</v>
      </c>
      <c r="H34" s="3">
        <v>3</v>
      </c>
      <c r="I34" s="4">
        <f t="shared" si="2"/>
        <v>17500</v>
      </c>
      <c r="J34" s="4">
        <f t="shared" si="3"/>
        <v>52500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1</v>
      </c>
      <c r="E41" s="3">
        <f t="shared" si="0"/>
        <v>3</v>
      </c>
      <c r="F41" s="4">
        <v>83000</v>
      </c>
      <c r="G41" s="4">
        <f t="shared" si="1"/>
        <v>249000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2.5</v>
      </c>
      <c r="D42" s="3">
        <v>3</v>
      </c>
      <c r="E42" s="3">
        <f t="shared" si="0"/>
        <v>5.5</v>
      </c>
      <c r="F42" s="4">
        <v>21000</v>
      </c>
      <c r="G42" s="4">
        <f t="shared" si="1"/>
        <v>115500</v>
      </c>
      <c r="H42" s="3">
        <v>1</v>
      </c>
      <c r="I42" s="4">
        <f t="shared" si="2"/>
        <v>21000</v>
      </c>
      <c r="J42" s="4">
        <f t="shared" si="3"/>
        <v>21000</v>
      </c>
    </row>
    <row r="43" spans="1:10" x14ac:dyDescent="0.25">
      <c r="A43" s="3">
        <v>41</v>
      </c>
      <c r="B43" t="s">
        <v>48</v>
      </c>
      <c r="C43" s="3">
        <v>3</v>
      </c>
      <c r="D43" s="3">
        <v>10</v>
      </c>
      <c r="E43" s="3">
        <f t="shared" si="0"/>
        <v>13</v>
      </c>
      <c r="F43" s="4">
        <v>25000</v>
      </c>
      <c r="G43" s="4">
        <f t="shared" si="1"/>
        <v>325000</v>
      </c>
      <c r="H43" s="3">
        <v>10</v>
      </c>
      <c r="I43" s="4">
        <f t="shared" si="2"/>
        <v>25000</v>
      </c>
      <c r="J43" s="4">
        <f t="shared" si="3"/>
        <v>250000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3</v>
      </c>
      <c r="D45" s="3">
        <v>2</v>
      </c>
      <c r="E45" s="3">
        <f t="shared" si="0"/>
        <v>5</v>
      </c>
      <c r="F45" s="4">
        <v>15500</v>
      </c>
      <c r="G45" s="4">
        <f t="shared" si="1"/>
        <v>77500</v>
      </c>
      <c r="H45" s="3">
        <v>3</v>
      </c>
      <c r="I45" s="4">
        <f t="shared" si="2"/>
        <v>15500</v>
      </c>
      <c r="J45" s="4">
        <f t="shared" si="3"/>
        <v>46500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8</v>
      </c>
      <c r="D49" s="3">
        <v>7</v>
      </c>
      <c r="E49" s="3">
        <f t="shared" si="0"/>
        <v>15</v>
      </c>
      <c r="F49" s="4">
        <v>6000</v>
      </c>
      <c r="G49" s="4">
        <f t="shared" si="1"/>
        <v>90000</v>
      </c>
      <c r="H49" s="3">
        <v>7</v>
      </c>
      <c r="I49" s="4">
        <f t="shared" si="2"/>
        <v>6000</v>
      </c>
      <c r="J49" s="4">
        <f t="shared" si="3"/>
        <v>42000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2</v>
      </c>
      <c r="D51" s="3"/>
      <c r="E51" s="3">
        <f t="shared" si="0"/>
        <v>2</v>
      </c>
      <c r="F51" s="4">
        <v>12000</v>
      </c>
      <c r="G51" s="4">
        <f>F51*E51</f>
        <v>24000</v>
      </c>
      <c r="H51" s="3">
        <v>0.5</v>
      </c>
      <c r="I51" s="4">
        <f t="shared" si="2"/>
        <v>12000</v>
      </c>
      <c r="J51" s="4">
        <f t="shared" si="3"/>
        <v>6000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19</v>
      </c>
      <c r="D61" s="3">
        <v>14</v>
      </c>
      <c r="E61" s="3">
        <f t="shared" si="0"/>
        <v>33</v>
      </c>
      <c r="F61" s="4">
        <v>5700</v>
      </c>
      <c r="G61" s="4">
        <f t="shared" si="1"/>
        <v>188100</v>
      </c>
      <c r="H61" s="3"/>
      <c r="I61" s="4">
        <f t="shared" si="2"/>
        <v>5700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>
        <v>0.5</v>
      </c>
      <c r="D63" s="3">
        <v>1</v>
      </c>
      <c r="E63" s="3">
        <f t="shared" si="0"/>
        <v>1.5</v>
      </c>
      <c r="F63" s="4">
        <v>39000</v>
      </c>
      <c r="G63" s="4">
        <f t="shared" si="1"/>
        <v>58500</v>
      </c>
      <c r="H63" s="3">
        <v>1</v>
      </c>
      <c r="I63" s="4">
        <f t="shared" si="2"/>
        <v>39000</v>
      </c>
      <c r="J63" s="4">
        <f t="shared" si="3"/>
        <v>39000</v>
      </c>
    </row>
    <row r="64" spans="1:10" x14ac:dyDescent="0.25">
      <c r="A64" s="3">
        <v>62</v>
      </c>
      <c r="B64" t="s">
        <v>69</v>
      </c>
      <c r="C64" s="3">
        <v>11</v>
      </c>
      <c r="D64" s="3"/>
      <c r="E64" s="3">
        <f t="shared" si="0"/>
        <v>11</v>
      </c>
      <c r="F64" s="4">
        <v>4625</v>
      </c>
      <c r="G64" s="4">
        <f t="shared" si="1"/>
        <v>50875</v>
      </c>
      <c r="H64" s="3">
        <v>4</v>
      </c>
      <c r="I64" s="4">
        <f t="shared" si="2"/>
        <v>4625</v>
      </c>
      <c r="J64" s="4">
        <f t="shared" si="3"/>
        <v>18500</v>
      </c>
    </row>
    <row r="65" spans="1:10" x14ac:dyDescent="0.25">
      <c r="A65" s="3">
        <v>63</v>
      </c>
      <c r="B65" t="s">
        <v>70</v>
      </c>
      <c r="C65" s="3">
        <v>6</v>
      </c>
      <c r="D65" s="3"/>
      <c r="E65" s="3">
        <f t="shared" si="0"/>
        <v>6</v>
      </c>
      <c r="F65" s="4">
        <v>21000</v>
      </c>
      <c r="G65" s="4">
        <f t="shared" si="1"/>
        <v>126000</v>
      </c>
      <c r="H65" s="3"/>
      <c r="I65" s="4">
        <f t="shared" si="2"/>
        <v>21000</v>
      </c>
      <c r="J65" s="4">
        <f t="shared" si="3"/>
        <v>0</v>
      </c>
    </row>
    <row r="66" spans="1:10" x14ac:dyDescent="0.25">
      <c r="A66" s="3">
        <v>64</v>
      </c>
      <c r="B66" t="s">
        <v>115</v>
      </c>
      <c r="C66" s="3">
        <v>0.6</v>
      </c>
      <c r="D66" s="3"/>
      <c r="E66" s="3">
        <f t="shared" si="0"/>
        <v>0.6</v>
      </c>
      <c r="F66" s="4">
        <v>100000</v>
      </c>
      <c r="G66" s="4">
        <f t="shared" si="1"/>
        <v>60000</v>
      </c>
      <c r="H66" s="3">
        <v>0.5</v>
      </c>
      <c r="I66" s="4">
        <f t="shared" si="2"/>
        <v>100000</v>
      </c>
      <c r="J66" s="4">
        <f t="shared" si="3"/>
        <v>50000</v>
      </c>
    </row>
    <row r="67" spans="1:10" x14ac:dyDescent="0.25">
      <c r="A67" s="3">
        <v>65</v>
      </c>
      <c r="B67" t="s">
        <v>71</v>
      </c>
      <c r="C67" s="3">
        <v>1</v>
      </c>
      <c r="D67" s="3"/>
      <c r="E67" s="3">
        <f t="shared" ref="E67:E83" si="4">C67+D67</f>
        <v>1</v>
      </c>
      <c r="F67" s="4">
        <v>17500</v>
      </c>
      <c r="G67" s="4">
        <f t="shared" si="1"/>
        <v>17500</v>
      </c>
      <c r="H67" s="3"/>
      <c r="I67" s="4">
        <f t="shared" si="2"/>
        <v>17500</v>
      </c>
      <c r="J67" s="4">
        <f t="shared" si="3"/>
        <v>0</v>
      </c>
    </row>
    <row r="68" spans="1:10" x14ac:dyDescent="0.25">
      <c r="A68" s="3">
        <v>66</v>
      </c>
      <c r="B68" t="s">
        <v>72</v>
      </c>
      <c r="C68" s="3">
        <v>3</v>
      </c>
      <c r="D68" s="3"/>
      <c r="E68" s="3">
        <f t="shared" si="4"/>
        <v>3</v>
      </c>
      <c r="F68" s="4">
        <v>8000</v>
      </c>
      <c r="G68" s="4">
        <f t="shared" si="1"/>
        <v>24000</v>
      </c>
      <c r="H68" s="3">
        <v>0.25</v>
      </c>
      <c r="I68" s="4">
        <f t="shared" si="2"/>
        <v>8000</v>
      </c>
      <c r="J68" s="4">
        <f t="shared" si="3"/>
        <v>2000</v>
      </c>
    </row>
    <row r="69" spans="1:10" x14ac:dyDescent="0.25">
      <c r="A69" s="3">
        <v>67</v>
      </c>
      <c r="B69" t="s">
        <v>73</v>
      </c>
      <c r="C69" s="3">
        <v>2</v>
      </c>
      <c r="D69" s="3"/>
      <c r="E69" s="3">
        <f t="shared" si="4"/>
        <v>2</v>
      </c>
      <c r="F69" s="4"/>
      <c r="G69" s="4">
        <f t="shared" si="1"/>
        <v>0</v>
      </c>
      <c r="H69" s="3">
        <v>0.5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/>
      <c r="D70" s="3"/>
      <c r="E70" s="3">
        <f t="shared" si="4"/>
        <v>0</v>
      </c>
      <c r="F70" s="4">
        <v>24000</v>
      </c>
      <c r="G70" s="4">
        <f t="shared" si="1"/>
        <v>0</v>
      </c>
      <c r="H70" s="3"/>
      <c r="I70" s="4">
        <f t="shared" si="2"/>
        <v>24000</v>
      </c>
      <c r="J70" s="4">
        <f t="shared" si="5"/>
        <v>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2.25</v>
      </c>
      <c r="D72" s="3">
        <v>1</v>
      </c>
      <c r="E72" s="3">
        <f t="shared" si="4"/>
        <v>3.25</v>
      </c>
      <c r="F72" s="4">
        <v>15000</v>
      </c>
      <c r="G72" s="4">
        <f>F72*E72</f>
        <v>48750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27</v>
      </c>
      <c r="D74" s="3"/>
      <c r="E74" s="3">
        <f t="shared" si="4"/>
        <v>27</v>
      </c>
      <c r="F74" s="4"/>
      <c r="G74" s="4">
        <f t="shared" ref="G74:G83" si="6">F74*E74</f>
        <v>0</v>
      </c>
      <c r="H74" s="3">
        <v>24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28</v>
      </c>
      <c r="D75" s="3"/>
      <c r="E75" s="3">
        <f t="shared" si="4"/>
        <v>28</v>
      </c>
      <c r="F75" s="4"/>
      <c r="G75" s="4">
        <f t="shared" si="6"/>
        <v>0</v>
      </c>
      <c r="H75" s="3">
        <v>24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3</v>
      </c>
      <c r="D76" s="3"/>
      <c r="E76" s="3">
        <f t="shared" si="4"/>
        <v>3</v>
      </c>
      <c r="F76" s="4"/>
      <c r="G76" s="4">
        <f t="shared" si="6"/>
        <v>0</v>
      </c>
      <c r="H76" s="3"/>
      <c r="I76" s="4">
        <f t="shared" si="7"/>
        <v>0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1766695</v>
      </c>
      <c r="H85" s="5"/>
      <c r="I85" s="5"/>
      <c r="J85" s="5">
        <f>SUM(J3:J84)</f>
        <v>703120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19</v>
      </c>
      <c r="D89" s="3"/>
      <c r="E89" s="3">
        <f>C89+D89</f>
        <v>19</v>
      </c>
      <c r="F89" s="4">
        <v>1240</v>
      </c>
      <c r="G89" s="4">
        <f>F89*E89</f>
        <v>23560</v>
      </c>
      <c r="H89" s="3">
        <v>13</v>
      </c>
      <c r="I89" s="4">
        <f>F89</f>
        <v>1240</v>
      </c>
      <c r="J89" s="4">
        <f>I89*H89</f>
        <v>16120</v>
      </c>
    </row>
    <row r="90" spans="1:10" x14ac:dyDescent="0.25">
      <c r="A90" s="3">
        <v>2</v>
      </c>
      <c r="B90" t="s">
        <v>85</v>
      </c>
      <c r="C90" s="3">
        <v>13</v>
      </c>
      <c r="D90" s="3">
        <v>22</v>
      </c>
      <c r="E90" s="3">
        <f>C90+D90</f>
        <v>35</v>
      </c>
      <c r="F90" s="4">
        <v>1000</v>
      </c>
      <c r="G90" s="4">
        <f t="shared" ref="G90:G120" si="8">F90*E90</f>
        <v>35000</v>
      </c>
      <c r="H90" s="3">
        <v>22</v>
      </c>
      <c r="I90" s="4">
        <f t="shared" ref="I90:I120" si="9">F90</f>
        <v>1000</v>
      </c>
      <c r="J90" s="4">
        <f t="shared" ref="J90:J120" si="10">I90*H90</f>
        <v>22000</v>
      </c>
    </row>
    <row r="91" spans="1:10" x14ac:dyDescent="0.25">
      <c r="A91" s="3">
        <v>3</v>
      </c>
      <c r="B91" t="s">
        <v>86</v>
      </c>
      <c r="C91" s="3">
        <v>14</v>
      </c>
      <c r="D91" s="3"/>
      <c r="E91" s="3">
        <f t="shared" ref="E91:E120" si="11">C91+D91</f>
        <v>14</v>
      </c>
      <c r="F91" s="4">
        <v>1650</v>
      </c>
      <c r="G91" s="4">
        <f t="shared" si="8"/>
        <v>23100</v>
      </c>
      <c r="H91" s="3">
        <v>14</v>
      </c>
      <c r="I91" s="4">
        <f t="shared" si="9"/>
        <v>1650</v>
      </c>
      <c r="J91" s="4">
        <f t="shared" si="10"/>
        <v>23100</v>
      </c>
    </row>
    <row r="92" spans="1:10" x14ac:dyDescent="0.25">
      <c r="A92" s="3">
        <v>4</v>
      </c>
      <c r="B92" t="s">
        <v>87</v>
      </c>
      <c r="C92" s="3">
        <v>12</v>
      </c>
      <c r="D92" s="3"/>
      <c r="E92" s="3">
        <f t="shared" si="11"/>
        <v>12</v>
      </c>
      <c r="F92" s="4">
        <v>1650</v>
      </c>
      <c r="G92" s="4">
        <f t="shared" si="8"/>
        <v>19800</v>
      </c>
      <c r="H92" s="3">
        <v>5</v>
      </c>
      <c r="I92" s="4">
        <f t="shared" si="9"/>
        <v>1650</v>
      </c>
      <c r="J92" s="4">
        <f t="shared" si="10"/>
        <v>8250</v>
      </c>
    </row>
    <row r="93" spans="1:10" x14ac:dyDescent="0.25">
      <c r="A93" s="3">
        <v>5</v>
      </c>
      <c r="B93" t="s">
        <v>88</v>
      </c>
      <c r="C93" s="3">
        <v>10</v>
      </c>
      <c r="D93" s="3"/>
      <c r="E93" s="3">
        <f t="shared" si="11"/>
        <v>10</v>
      </c>
      <c r="F93" s="4">
        <v>1750</v>
      </c>
      <c r="G93" s="4">
        <f t="shared" si="8"/>
        <v>17500</v>
      </c>
      <c r="H93" s="3">
        <v>9</v>
      </c>
      <c r="I93" s="4">
        <f t="shared" si="9"/>
        <v>1750</v>
      </c>
      <c r="J93" s="4">
        <f t="shared" si="10"/>
        <v>15750</v>
      </c>
    </row>
    <row r="94" spans="1:10" x14ac:dyDescent="0.25">
      <c r="A94" s="3">
        <v>6</v>
      </c>
      <c r="B94" t="s">
        <v>89</v>
      </c>
      <c r="C94" s="3">
        <v>10</v>
      </c>
      <c r="D94" s="3">
        <v>6</v>
      </c>
      <c r="E94" s="3">
        <f t="shared" si="11"/>
        <v>16</v>
      </c>
      <c r="F94" s="4">
        <v>1500</v>
      </c>
      <c r="G94" s="4">
        <f t="shared" si="8"/>
        <v>24000</v>
      </c>
      <c r="H94" s="3">
        <v>6</v>
      </c>
      <c r="I94" s="4">
        <f t="shared" si="9"/>
        <v>1500</v>
      </c>
      <c r="J94" s="4">
        <f t="shared" si="10"/>
        <v>9000</v>
      </c>
    </row>
    <row r="95" spans="1:10" x14ac:dyDescent="0.25">
      <c r="A95" s="3">
        <v>7</v>
      </c>
      <c r="B95" t="s">
        <v>90</v>
      </c>
      <c r="C95" s="3">
        <v>7</v>
      </c>
      <c r="D95" s="3"/>
      <c r="E95" s="3">
        <f t="shared" si="11"/>
        <v>7</v>
      </c>
      <c r="F95" s="4">
        <v>1500</v>
      </c>
      <c r="G95" s="4">
        <f t="shared" si="8"/>
        <v>10500</v>
      </c>
      <c r="H95" s="3">
        <v>3</v>
      </c>
      <c r="I95" s="4">
        <f t="shared" si="9"/>
        <v>1500</v>
      </c>
      <c r="J95" s="4">
        <f t="shared" si="10"/>
        <v>4500</v>
      </c>
    </row>
    <row r="96" spans="1:10" x14ac:dyDescent="0.25">
      <c r="A96" s="3">
        <v>8</v>
      </c>
      <c r="B96" t="s">
        <v>91</v>
      </c>
      <c r="C96" s="3">
        <v>5</v>
      </c>
      <c r="D96" s="3">
        <v>12</v>
      </c>
      <c r="E96" s="3">
        <f t="shared" si="11"/>
        <v>17</v>
      </c>
      <c r="F96" s="4">
        <v>3350</v>
      </c>
      <c r="G96" s="4">
        <f t="shared" si="8"/>
        <v>56950</v>
      </c>
      <c r="H96" s="3">
        <v>10</v>
      </c>
      <c r="I96" s="4">
        <f t="shared" si="9"/>
        <v>3350</v>
      </c>
      <c r="J96" s="4">
        <f t="shared" si="10"/>
        <v>33500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1.5</v>
      </c>
      <c r="I97" s="4">
        <f t="shared" si="9"/>
        <v>23000</v>
      </c>
      <c r="J97" s="4">
        <f t="shared" si="10"/>
        <v>34500</v>
      </c>
    </row>
    <row r="98" spans="1:10" x14ac:dyDescent="0.25">
      <c r="A98" s="3">
        <v>10</v>
      </c>
      <c r="B98" t="s">
        <v>93</v>
      </c>
      <c r="C98" s="3">
        <v>9</v>
      </c>
      <c r="D98" s="3"/>
      <c r="E98" s="3">
        <f t="shared" si="11"/>
        <v>9</v>
      </c>
      <c r="F98" s="4">
        <v>9000</v>
      </c>
      <c r="G98" s="4">
        <f t="shared" si="8"/>
        <v>81000</v>
      </c>
      <c r="H98" s="3">
        <v>7</v>
      </c>
      <c r="I98" s="4">
        <f t="shared" si="9"/>
        <v>9000</v>
      </c>
      <c r="J98" s="4">
        <f t="shared" si="10"/>
        <v>63000</v>
      </c>
    </row>
    <row r="99" spans="1:10" x14ac:dyDescent="0.25">
      <c r="A99" s="3">
        <v>11</v>
      </c>
      <c r="B99" t="s">
        <v>94</v>
      </c>
      <c r="C99" s="3">
        <v>1.5</v>
      </c>
      <c r="D99" s="3">
        <v>1</v>
      </c>
      <c r="E99" s="3">
        <f t="shared" si="11"/>
        <v>2.5</v>
      </c>
      <c r="F99" s="4">
        <v>6000</v>
      </c>
      <c r="G99" s="4">
        <f t="shared" si="8"/>
        <v>15000</v>
      </c>
      <c r="H99" s="3">
        <v>2</v>
      </c>
      <c r="I99" s="4">
        <f t="shared" si="9"/>
        <v>6000</v>
      </c>
      <c r="J99" s="4">
        <f t="shared" si="10"/>
        <v>12000</v>
      </c>
    </row>
    <row r="100" spans="1:10" x14ac:dyDescent="0.25">
      <c r="A100" s="3">
        <v>12</v>
      </c>
      <c r="B100" t="s">
        <v>95</v>
      </c>
      <c r="C100" s="3">
        <v>3</v>
      </c>
      <c r="D100" s="3">
        <v>7</v>
      </c>
      <c r="E100" s="3">
        <f t="shared" si="11"/>
        <v>10</v>
      </c>
      <c r="F100" s="4">
        <v>8000</v>
      </c>
      <c r="G100" s="4">
        <f t="shared" si="8"/>
        <v>80000</v>
      </c>
      <c r="H100" s="3">
        <v>1</v>
      </c>
      <c r="I100" s="4">
        <f t="shared" si="9"/>
        <v>8000</v>
      </c>
      <c r="J100" s="4">
        <f t="shared" si="10"/>
        <v>8000</v>
      </c>
    </row>
    <row r="101" spans="1:10" x14ac:dyDescent="0.25">
      <c r="A101" s="3">
        <v>13</v>
      </c>
      <c r="B101" t="s">
        <v>96</v>
      </c>
      <c r="C101" s="3">
        <v>10</v>
      </c>
      <c r="D101" s="3"/>
      <c r="E101" s="3">
        <f t="shared" si="11"/>
        <v>10</v>
      </c>
      <c r="F101" s="4">
        <v>3300</v>
      </c>
      <c r="G101" s="4">
        <f t="shared" si="8"/>
        <v>33000</v>
      </c>
      <c r="H101" s="3">
        <v>3</v>
      </c>
      <c r="I101" s="4">
        <f t="shared" si="9"/>
        <v>3300</v>
      </c>
      <c r="J101" s="4">
        <f t="shared" si="10"/>
        <v>9900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/>
      <c r="D109" s="3">
        <v>1</v>
      </c>
      <c r="E109" s="3">
        <f t="shared" si="11"/>
        <v>1</v>
      </c>
      <c r="F109" s="4">
        <v>8000</v>
      </c>
      <c r="G109" s="4">
        <f t="shared" si="8"/>
        <v>8000</v>
      </c>
      <c r="H109" s="3">
        <v>0.5</v>
      </c>
      <c r="I109" s="4">
        <f t="shared" si="9"/>
        <v>8000</v>
      </c>
      <c r="J109" s="4">
        <f t="shared" si="10"/>
        <v>4000</v>
      </c>
    </row>
    <row r="110" spans="1:10" x14ac:dyDescent="0.25">
      <c r="A110" s="3">
        <v>22</v>
      </c>
      <c r="B110" t="s">
        <v>105</v>
      </c>
      <c r="C110" s="3"/>
      <c r="D110" s="3">
        <v>2</v>
      </c>
      <c r="E110" s="3">
        <f t="shared" si="11"/>
        <v>2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5</v>
      </c>
      <c r="E111" s="3">
        <f t="shared" si="11"/>
        <v>9</v>
      </c>
      <c r="F111" s="4">
        <v>4000</v>
      </c>
      <c r="G111" s="4">
        <f t="shared" si="8"/>
        <v>36000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5</v>
      </c>
      <c r="I112" s="4">
        <f t="shared" si="9"/>
        <v>24000</v>
      </c>
      <c r="J112" s="4">
        <f t="shared" si="10"/>
        <v>120000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653410</v>
      </c>
      <c r="H121" s="5"/>
      <c r="I121" s="5"/>
      <c r="J121" s="5">
        <f>SUM(J89:J120)</f>
        <v>399620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1102740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C7EA-F410-4BA5-8A3D-C290F91DFBFA}">
  <dimension ref="A1:M268"/>
  <sheetViews>
    <sheetView workbookViewId="0">
      <selection sqref="A1:XFD1048576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0.1</v>
      </c>
      <c r="D3" s="3">
        <v>0.75</v>
      </c>
      <c r="E3" s="3">
        <f t="shared" ref="E3:E66" si="0">C3+D3</f>
        <v>0.85</v>
      </c>
      <c r="F3" s="4">
        <v>36000</v>
      </c>
      <c r="G3" s="4">
        <f>F3*E3</f>
        <v>30600</v>
      </c>
      <c r="H3" s="3"/>
      <c r="I3" s="4">
        <f>F3</f>
        <v>36000</v>
      </c>
      <c r="J3" s="4">
        <f>I3*H3</f>
        <v>0</v>
      </c>
    </row>
    <row r="4" spans="1:13" x14ac:dyDescent="0.25">
      <c r="A4" s="3">
        <v>2</v>
      </c>
      <c r="B4" t="s">
        <v>10</v>
      </c>
      <c r="C4" s="3">
        <v>0.25</v>
      </c>
      <c r="D4" s="3"/>
      <c r="E4" s="3">
        <f t="shared" si="0"/>
        <v>0.25</v>
      </c>
      <c r="F4" s="4">
        <v>36000</v>
      </c>
      <c r="G4" s="4">
        <f t="shared" ref="G4:G73" si="1">F4*E4</f>
        <v>9000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>
        <v>0.17</v>
      </c>
      <c r="D6" s="3"/>
      <c r="E6" s="3">
        <f t="shared" si="0"/>
        <v>0.17</v>
      </c>
      <c r="F6" s="4">
        <v>60000</v>
      </c>
      <c r="G6" s="4">
        <f t="shared" si="1"/>
        <v>10200</v>
      </c>
      <c r="H6" s="3"/>
      <c r="I6" s="4">
        <f t="shared" si="2"/>
        <v>60000</v>
      </c>
      <c r="J6" s="4">
        <f t="shared" si="3"/>
        <v>0</v>
      </c>
    </row>
    <row r="7" spans="1:13" x14ac:dyDescent="0.25">
      <c r="A7" s="3">
        <v>5</v>
      </c>
      <c r="B7" t="s">
        <v>13</v>
      </c>
      <c r="C7" s="3">
        <v>0.1</v>
      </c>
      <c r="D7" s="3">
        <v>0.25</v>
      </c>
      <c r="E7" s="3">
        <f t="shared" si="0"/>
        <v>0.35</v>
      </c>
      <c r="F7" s="4">
        <v>40000</v>
      </c>
      <c r="G7" s="4">
        <f t="shared" si="1"/>
        <v>14000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>
        <v>0.17</v>
      </c>
      <c r="D8" s="3"/>
      <c r="E8" s="3">
        <f t="shared" si="0"/>
        <v>0.17</v>
      </c>
      <c r="F8" s="4">
        <v>50000</v>
      </c>
      <c r="G8" s="4">
        <f t="shared" si="1"/>
        <v>8500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>
        <v>0.25</v>
      </c>
      <c r="I9" s="4">
        <f t="shared" si="2"/>
        <v>13000</v>
      </c>
      <c r="J9" s="4">
        <f t="shared" si="3"/>
        <v>3250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0.5</v>
      </c>
      <c r="D19" s="3">
        <v>1</v>
      </c>
      <c r="E19" s="3">
        <f t="shared" si="0"/>
        <v>1.5</v>
      </c>
      <c r="F19" s="4">
        <v>20000</v>
      </c>
      <c r="G19" s="4">
        <f t="shared" si="1"/>
        <v>30000</v>
      </c>
      <c r="H19" s="3">
        <v>0.5</v>
      </c>
      <c r="I19" s="4">
        <f t="shared" si="2"/>
        <v>20000</v>
      </c>
      <c r="J19" s="4">
        <f t="shared" si="3"/>
        <v>10000</v>
      </c>
    </row>
    <row r="20" spans="1:10" x14ac:dyDescent="0.25">
      <c r="A20" s="3">
        <v>18</v>
      </c>
      <c r="B20" t="s">
        <v>25</v>
      </c>
      <c r="C20" s="3"/>
      <c r="D20" s="3"/>
      <c r="E20" s="3">
        <f t="shared" si="0"/>
        <v>0</v>
      </c>
      <c r="F20" s="4">
        <v>11000</v>
      </c>
      <c r="G20" s="4">
        <f t="shared" si="1"/>
        <v>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0.5</v>
      </c>
      <c r="D22" s="3"/>
      <c r="E22" s="3">
        <f t="shared" si="0"/>
        <v>0.5</v>
      </c>
      <c r="F22" s="4">
        <v>15000</v>
      </c>
      <c r="G22" s="4">
        <f t="shared" si="1"/>
        <v>7500</v>
      </c>
      <c r="H22" s="3">
        <v>0.25</v>
      </c>
      <c r="I22" s="4">
        <f t="shared" si="2"/>
        <v>15000</v>
      </c>
      <c r="J22" s="4">
        <f t="shared" si="3"/>
        <v>3750</v>
      </c>
    </row>
    <row r="23" spans="1:10" x14ac:dyDescent="0.25">
      <c r="A23" s="3">
        <v>21</v>
      </c>
      <c r="B23" t="s">
        <v>28</v>
      </c>
      <c r="C23" s="3"/>
      <c r="D23" s="3"/>
      <c r="E23" s="3">
        <f t="shared" si="0"/>
        <v>0</v>
      </c>
      <c r="F23" s="4">
        <v>8000</v>
      </c>
      <c r="G23" s="4">
        <f>F23*E23</f>
        <v>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/>
      <c r="D24" s="3"/>
      <c r="E24" s="3">
        <f t="shared" si="0"/>
        <v>0</v>
      </c>
      <c r="F24" s="4">
        <v>8000</v>
      </c>
      <c r="G24" s="4">
        <f t="shared" si="1"/>
        <v>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/>
      <c r="E26" s="3">
        <f t="shared" si="0"/>
        <v>0</v>
      </c>
      <c r="F26" s="4">
        <v>11500</v>
      </c>
      <c r="G26" s="4">
        <f t="shared" si="1"/>
        <v>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/>
      <c r="D27" s="3"/>
      <c r="E27" s="3">
        <f t="shared" si="0"/>
        <v>0</v>
      </c>
      <c r="F27" s="4">
        <v>8500</v>
      </c>
      <c r="G27" s="4">
        <f t="shared" si="1"/>
        <v>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0.18</v>
      </c>
      <c r="D29" s="3"/>
      <c r="E29" s="3">
        <f t="shared" si="0"/>
        <v>0.18</v>
      </c>
      <c r="F29" s="4">
        <v>24000</v>
      </c>
      <c r="G29" s="4">
        <f t="shared" si="1"/>
        <v>4320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>
        <v>0.25</v>
      </c>
      <c r="D33" s="3"/>
      <c r="E33" s="3">
        <f t="shared" si="0"/>
        <v>0.25</v>
      </c>
      <c r="F33" s="4">
        <v>56000</v>
      </c>
      <c r="G33" s="4">
        <f t="shared" si="1"/>
        <v>14000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3</v>
      </c>
      <c r="D34" s="3">
        <v>5</v>
      </c>
      <c r="E34" s="3">
        <f t="shared" si="0"/>
        <v>8</v>
      </c>
      <c r="F34" s="4">
        <v>17500</v>
      </c>
      <c r="G34" s="4">
        <f t="shared" si="1"/>
        <v>140000</v>
      </c>
      <c r="H34" s="3">
        <v>3.5</v>
      </c>
      <c r="I34" s="4">
        <f t="shared" si="2"/>
        <v>17500</v>
      </c>
      <c r="J34" s="4">
        <f t="shared" si="3"/>
        <v>61250</v>
      </c>
    </row>
    <row r="35" spans="1:10" x14ac:dyDescent="0.25">
      <c r="A35" s="3">
        <v>33</v>
      </c>
      <c r="B35" t="s">
        <v>40</v>
      </c>
      <c r="C35" s="3"/>
      <c r="D35" s="3">
        <v>1</v>
      </c>
      <c r="E35" s="3">
        <f t="shared" si="0"/>
        <v>1</v>
      </c>
      <c r="F35" s="4">
        <v>3000</v>
      </c>
      <c r="G35" s="4">
        <f t="shared" si="1"/>
        <v>3000</v>
      </c>
      <c r="H35" s="3">
        <v>1</v>
      </c>
      <c r="I35" s="4">
        <f t="shared" si="2"/>
        <v>3000</v>
      </c>
      <c r="J35" s="4">
        <f t="shared" si="3"/>
        <v>3000</v>
      </c>
    </row>
    <row r="36" spans="1:10" x14ac:dyDescent="0.25">
      <c r="A36" s="3">
        <v>34</v>
      </c>
      <c r="B36" t="s">
        <v>41</v>
      </c>
      <c r="C36" s="3"/>
      <c r="D36" s="3">
        <v>1</v>
      </c>
      <c r="E36" s="3">
        <f t="shared" si="0"/>
        <v>1</v>
      </c>
      <c r="F36" s="4">
        <v>11000</v>
      </c>
      <c r="G36" s="4">
        <f t="shared" si="1"/>
        <v>11000</v>
      </c>
      <c r="H36" s="3">
        <v>1</v>
      </c>
      <c r="I36" s="4">
        <f t="shared" si="2"/>
        <v>11000</v>
      </c>
      <c r="J36" s="4">
        <f t="shared" si="3"/>
        <v>11000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3</v>
      </c>
      <c r="E41" s="3">
        <f t="shared" si="0"/>
        <v>4</v>
      </c>
      <c r="F41" s="4">
        <v>83000</v>
      </c>
      <c r="G41" s="4">
        <f t="shared" si="1"/>
        <v>332000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1</v>
      </c>
      <c r="D42" s="3">
        <v>4</v>
      </c>
      <c r="E42" s="3">
        <f t="shared" si="0"/>
        <v>5</v>
      </c>
      <c r="F42" s="4">
        <v>21000</v>
      </c>
      <c r="G42" s="4">
        <f t="shared" si="1"/>
        <v>105000</v>
      </c>
      <c r="H42" s="3">
        <v>2</v>
      </c>
      <c r="I42" s="4">
        <f t="shared" si="2"/>
        <v>21000</v>
      </c>
      <c r="J42" s="4">
        <f t="shared" si="3"/>
        <v>42000</v>
      </c>
    </row>
    <row r="43" spans="1:10" x14ac:dyDescent="0.25">
      <c r="A43" s="3">
        <v>41</v>
      </c>
      <c r="B43" t="s">
        <v>48</v>
      </c>
      <c r="C43" s="3">
        <v>10</v>
      </c>
      <c r="D43" s="3"/>
      <c r="E43" s="3">
        <f t="shared" si="0"/>
        <v>10</v>
      </c>
      <c r="F43" s="4">
        <v>25000</v>
      </c>
      <c r="G43" s="4">
        <f t="shared" si="1"/>
        <v>250000</v>
      </c>
      <c r="H43" s="3">
        <v>6</v>
      </c>
      <c r="I43" s="4">
        <f t="shared" si="2"/>
        <v>25000</v>
      </c>
      <c r="J43" s="4">
        <f t="shared" si="3"/>
        <v>150000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3</v>
      </c>
      <c r="D45" s="3">
        <v>2</v>
      </c>
      <c r="E45" s="3">
        <f t="shared" si="0"/>
        <v>5</v>
      </c>
      <c r="F45" s="4">
        <v>15500</v>
      </c>
      <c r="G45" s="4">
        <f t="shared" si="1"/>
        <v>77500</v>
      </c>
      <c r="H45" s="3">
        <v>1</v>
      </c>
      <c r="I45" s="4">
        <f t="shared" si="2"/>
        <v>15500</v>
      </c>
      <c r="J45" s="4">
        <f t="shared" si="3"/>
        <v>15500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7</v>
      </c>
      <c r="D49" s="3">
        <v>20</v>
      </c>
      <c r="E49" s="3">
        <f t="shared" si="0"/>
        <v>27</v>
      </c>
      <c r="F49" s="4">
        <v>6000</v>
      </c>
      <c r="G49" s="4">
        <f t="shared" si="1"/>
        <v>162000</v>
      </c>
      <c r="H49" s="3">
        <v>18</v>
      </c>
      <c r="I49" s="4">
        <f t="shared" si="2"/>
        <v>6000</v>
      </c>
      <c r="J49" s="4">
        <f t="shared" si="3"/>
        <v>108000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0.5</v>
      </c>
      <c r="D51" s="3">
        <v>3</v>
      </c>
      <c r="E51" s="3">
        <f t="shared" si="0"/>
        <v>3.5</v>
      </c>
      <c r="F51" s="4">
        <v>12000</v>
      </c>
      <c r="G51" s="4">
        <f>F51*E51</f>
        <v>42000</v>
      </c>
      <c r="H51" s="3">
        <v>0.5</v>
      </c>
      <c r="I51" s="4">
        <f t="shared" si="2"/>
        <v>12000</v>
      </c>
      <c r="J51" s="4">
        <f t="shared" si="3"/>
        <v>6000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0.5</v>
      </c>
      <c r="D59" s="3">
        <v>1</v>
      </c>
      <c r="E59" s="3">
        <f t="shared" si="0"/>
        <v>1.5</v>
      </c>
      <c r="F59" s="4">
        <v>20000</v>
      </c>
      <c r="G59" s="4">
        <f t="shared" si="1"/>
        <v>30000</v>
      </c>
      <c r="H59" s="3">
        <v>0.25</v>
      </c>
      <c r="I59" s="4">
        <f t="shared" si="2"/>
        <v>20000</v>
      </c>
      <c r="J59" s="4">
        <f t="shared" si="3"/>
        <v>5000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>
        <v>28</v>
      </c>
      <c r="E61" s="3">
        <f t="shared" si="0"/>
        <v>28</v>
      </c>
      <c r="F61" s="4">
        <v>5700</v>
      </c>
      <c r="G61" s="4">
        <f t="shared" si="1"/>
        <v>159600</v>
      </c>
      <c r="H61" s="3">
        <v>10</v>
      </c>
      <c r="I61" s="4">
        <f t="shared" si="2"/>
        <v>5700</v>
      </c>
      <c r="J61" s="4">
        <f t="shared" si="3"/>
        <v>57000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>
        <v>1</v>
      </c>
      <c r="D63" s="3"/>
      <c r="E63" s="3">
        <f t="shared" si="0"/>
        <v>1</v>
      </c>
      <c r="F63" s="4">
        <v>39000</v>
      </c>
      <c r="G63" s="4">
        <f t="shared" si="1"/>
        <v>39000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4</v>
      </c>
      <c r="D64" s="3">
        <v>14</v>
      </c>
      <c r="E64" s="3">
        <f t="shared" si="0"/>
        <v>18</v>
      </c>
      <c r="F64" s="4">
        <v>4625</v>
      </c>
      <c r="G64" s="4">
        <f t="shared" si="1"/>
        <v>83250</v>
      </c>
      <c r="H64" s="3">
        <v>14</v>
      </c>
      <c r="I64" s="4">
        <f t="shared" si="2"/>
        <v>4625</v>
      </c>
      <c r="J64" s="4">
        <f t="shared" si="3"/>
        <v>64750</v>
      </c>
    </row>
    <row r="65" spans="1:10" x14ac:dyDescent="0.25">
      <c r="A65" s="3">
        <v>63</v>
      </c>
      <c r="B65" t="s">
        <v>70</v>
      </c>
      <c r="C65" s="3"/>
      <c r="D65" s="3">
        <v>20</v>
      </c>
      <c r="E65" s="3">
        <f t="shared" si="0"/>
        <v>20</v>
      </c>
      <c r="F65" s="4">
        <v>21000</v>
      </c>
      <c r="G65" s="4">
        <f t="shared" si="1"/>
        <v>420000</v>
      </c>
      <c r="H65" s="3">
        <v>13</v>
      </c>
      <c r="I65" s="4">
        <f t="shared" si="2"/>
        <v>21000</v>
      </c>
      <c r="J65" s="4">
        <f t="shared" si="3"/>
        <v>273000</v>
      </c>
    </row>
    <row r="66" spans="1:10" x14ac:dyDescent="0.25">
      <c r="A66" s="3">
        <v>64</v>
      </c>
      <c r="B66" t="s">
        <v>115</v>
      </c>
      <c r="C66" s="3">
        <v>0.5</v>
      </c>
      <c r="D66" s="3"/>
      <c r="E66" s="3">
        <f t="shared" si="0"/>
        <v>0.5</v>
      </c>
      <c r="F66" s="4">
        <v>100000</v>
      </c>
      <c r="G66" s="4">
        <f t="shared" si="1"/>
        <v>50000</v>
      </c>
      <c r="H66" s="3">
        <v>0.25</v>
      </c>
      <c r="I66" s="4">
        <f t="shared" si="2"/>
        <v>100000</v>
      </c>
      <c r="J66" s="4">
        <f t="shared" si="3"/>
        <v>25000</v>
      </c>
    </row>
    <row r="67" spans="1:10" x14ac:dyDescent="0.25">
      <c r="A67" s="3">
        <v>65</v>
      </c>
      <c r="B67" t="s">
        <v>71</v>
      </c>
      <c r="C67" s="3"/>
      <c r="D67" s="3">
        <v>3</v>
      </c>
      <c r="E67" s="3">
        <f t="shared" ref="E67:E83" si="4">C67+D67</f>
        <v>3</v>
      </c>
      <c r="F67" s="4">
        <v>17500</v>
      </c>
      <c r="G67" s="4">
        <f t="shared" si="1"/>
        <v>52500</v>
      </c>
      <c r="H67" s="3">
        <v>1.25</v>
      </c>
      <c r="I67" s="4">
        <f t="shared" si="2"/>
        <v>17500</v>
      </c>
      <c r="J67" s="4">
        <f t="shared" si="3"/>
        <v>21875</v>
      </c>
    </row>
    <row r="68" spans="1:10" x14ac:dyDescent="0.25">
      <c r="A68" s="3">
        <v>66</v>
      </c>
      <c r="B68" t="s">
        <v>72</v>
      </c>
      <c r="C68" s="3">
        <v>0.25</v>
      </c>
      <c r="D68" s="3">
        <v>4</v>
      </c>
      <c r="E68" s="3">
        <f t="shared" si="4"/>
        <v>4.25</v>
      </c>
      <c r="F68" s="4">
        <v>8000</v>
      </c>
      <c r="G68" s="4">
        <f t="shared" si="1"/>
        <v>34000</v>
      </c>
      <c r="H68" s="3">
        <v>0.25</v>
      </c>
      <c r="I68" s="4">
        <f t="shared" si="2"/>
        <v>8000</v>
      </c>
      <c r="J68" s="4">
        <f t="shared" si="3"/>
        <v>2000</v>
      </c>
    </row>
    <row r="69" spans="1:10" x14ac:dyDescent="0.25">
      <c r="A69" s="3">
        <v>67</v>
      </c>
      <c r="B69" t="s">
        <v>73</v>
      </c>
      <c r="C69" s="3">
        <v>0.5</v>
      </c>
      <c r="D69" s="3">
        <v>2</v>
      </c>
      <c r="E69" s="3">
        <f t="shared" si="4"/>
        <v>2.5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1</v>
      </c>
      <c r="D70" s="3"/>
      <c r="E70" s="3">
        <f t="shared" si="4"/>
        <v>1</v>
      </c>
      <c r="F70" s="4">
        <v>24000</v>
      </c>
      <c r="G70" s="4">
        <f t="shared" si="1"/>
        <v>24000</v>
      </c>
      <c r="H70" s="3">
        <v>0.5</v>
      </c>
      <c r="I70" s="4">
        <f t="shared" si="2"/>
        <v>24000</v>
      </c>
      <c r="J70" s="4">
        <f t="shared" si="5"/>
        <v>12000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>
        <v>2</v>
      </c>
      <c r="E72" s="3">
        <f t="shared" si="4"/>
        <v>4</v>
      </c>
      <c r="F72" s="4">
        <v>15000</v>
      </c>
      <c r="G72" s="4">
        <f>F72*E72</f>
        <v>60000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24</v>
      </c>
      <c r="D74" s="3"/>
      <c r="E74" s="3">
        <f t="shared" si="4"/>
        <v>24</v>
      </c>
      <c r="F74" s="4"/>
      <c r="G74" s="4">
        <f t="shared" ref="G74:G83" si="6">F74*E74</f>
        <v>0</v>
      </c>
      <c r="H74" s="3">
        <v>22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24</v>
      </c>
      <c r="D75" s="3"/>
      <c r="E75" s="3">
        <f t="shared" si="4"/>
        <v>24</v>
      </c>
      <c r="F75" s="4"/>
      <c r="G75" s="4">
        <f t="shared" si="6"/>
        <v>0</v>
      </c>
      <c r="H75" s="3">
        <v>22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/>
      <c r="D76" s="3">
        <v>16</v>
      </c>
      <c r="E76" s="3">
        <f t="shared" si="4"/>
        <v>16</v>
      </c>
      <c r="F76" s="4">
        <v>2437</v>
      </c>
      <c r="G76" s="4">
        <f t="shared" si="6"/>
        <v>38992</v>
      </c>
      <c r="H76" s="3">
        <v>15</v>
      </c>
      <c r="I76" s="4">
        <f t="shared" si="7"/>
        <v>2437</v>
      </c>
      <c r="J76" s="4">
        <f t="shared" si="5"/>
        <v>36555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2254962</v>
      </c>
      <c r="H85" s="5"/>
      <c r="I85" s="5"/>
      <c r="J85" s="5">
        <f>SUM(J3:J84)</f>
        <v>1023930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13</v>
      </c>
      <c r="D89" s="3"/>
      <c r="E89" s="3">
        <f>C89+D89</f>
        <v>13</v>
      </c>
      <c r="F89" s="4">
        <v>1240</v>
      </c>
      <c r="G89" s="4">
        <f>F89*E89</f>
        <v>16120</v>
      </c>
      <c r="H89" s="3">
        <v>5</v>
      </c>
      <c r="I89" s="4">
        <f>F89</f>
        <v>1240</v>
      </c>
      <c r="J89" s="4">
        <f>I89*H89</f>
        <v>6200</v>
      </c>
    </row>
    <row r="90" spans="1:10" x14ac:dyDescent="0.25">
      <c r="A90" s="3">
        <v>2</v>
      </c>
      <c r="B90" t="s">
        <v>85</v>
      </c>
      <c r="C90" s="3">
        <v>22</v>
      </c>
      <c r="D90" s="3">
        <v>22</v>
      </c>
      <c r="E90" s="3">
        <f>C90+D90</f>
        <v>44</v>
      </c>
      <c r="F90" s="4">
        <v>1000</v>
      </c>
      <c r="G90" s="4">
        <f t="shared" ref="G90:G120" si="8">F90*E90</f>
        <v>44000</v>
      </c>
      <c r="H90" s="3">
        <v>29</v>
      </c>
      <c r="I90" s="4">
        <f t="shared" ref="I90:I120" si="9">F90</f>
        <v>1000</v>
      </c>
      <c r="J90" s="4">
        <f t="shared" ref="J90:J120" si="10">I90*H90</f>
        <v>29000</v>
      </c>
    </row>
    <row r="91" spans="1:10" x14ac:dyDescent="0.25">
      <c r="A91" s="3">
        <v>3</v>
      </c>
      <c r="B91" t="s">
        <v>86</v>
      </c>
      <c r="C91" s="3">
        <v>14</v>
      </c>
      <c r="D91" s="3">
        <v>10</v>
      </c>
      <c r="E91" s="3">
        <f t="shared" ref="E91:E120" si="11">C91+D91</f>
        <v>24</v>
      </c>
      <c r="F91" s="4">
        <v>1650</v>
      </c>
      <c r="G91" s="4">
        <f t="shared" si="8"/>
        <v>39600</v>
      </c>
      <c r="H91" s="3">
        <v>8</v>
      </c>
      <c r="I91" s="4">
        <f t="shared" si="9"/>
        <v>1650</v>
      </c>
      <c r="J91" s="4">
        <f t="shared" si="10"/>
        <v>13200</v>
      </c>
    </row>
    <row r="92" spans="1:10" x14ac:dyDescent="0.25">
      <c r="A92" s="3">
        <v>4</v>
      </c>
      <c r="B92" t="s">
        <v>87</v>
      </c>
      <c r="C92" s="3">
        <v>5</v>
      </c>
      <c r="D92" s="3">
        <v>10</v>
      </c>
      <c r="E92" s="3">
        <f t="shared" si="11"/>
        <v>15</v>
      </c>
      <c r="F92" s="4">
        <v>1650</v>
      </c>
      <c r="G92" s="4">
        <f t="shared" si="8"/>
        <v>24750</v>
      </c>
      <c r="H92" s="3">
        <v>11</v>
      </c>
      <c r="I92" s="4">
        <f t="shared" si="9"/>
        <v>1650</v>
      </c>
      <c r="J92" s="4">
        <f t="shared" si="10"/>
        <v>18150</v>
      </c>
    </row>
    <row r="93" spans="1:10" x14ac:dyDescent="0.25">
      <c r="A93" s="3">
        <v>5</v>
      </c>
      <c r="B93" t="s">
        <v>88</v>
      </c>
      <c r="C93" s="3">
        <v>9</v>
      </c>
      <c r="D93" s="3"/>
      <c r="E93" s="3">
        <f t="shared" si="11"/>
        <v>9</v>
      </c>
      <c r="F93" s="4">
        <v>1750</v>
      </c>
      <c r="G93" s="4">
        <f t="shared" si="8"/>
        <v>15750</v>
      </c>
      <c r="H93" s="3">
        <v>8</v>
      </c>
      <c r="I93" s="4">
        <f t="shared" si="9"/>
        <v>1750</v>
      </c>
      <c r="J93" s="4">
        <f t="shared" si="10"/>
        <v>14000</v>
      </c>
    </row>
    <row r="94" spans="1:10" x14ac:dyDescent="0.25">
      <c r="A94" s="3">
        <v>6</v>
      </c>
      <c r="B94" t="s">
        <v>89</v>
      </c>
      <c r="C94" s="3">
        <v>6</v>
      </c>
      <c r="D94" s="3">
        <v>12</v>
      </c>
      <c r="E94" s="3">
        <f t="shared" si="11"/>
        <v>18</v>
      </c>
      <c r="F94" s="4">
        <v>1500</v>
      </c>
      <c r="G94" s="4">
        <f t="shared" si="8"/>
        <v>27000</v>
      </c>
      <c r="H94" s="3">
        <v>9</v>
      </c>
      <c r="I94" s="4">
        <f t="shared" si="9"/>
        <v>1500</v>
      </c>
      <c r="J94" s="4">
        <f t="shared" si="10"/>
        <v>13500</v>
      </c>
    </row>
    <row r="95" spans="1:10" x14ac:dyDescent="0.25">
      <c r="A95" s="3">
        <v>7</v>
      </c>
      <c r="B95" t="s">
        <v>90</v>
      </c>
      <c r="C95" s="3">
        <v>3</v>
      </c>
      <c r="D95" s="3">
        <v>6</v>
      </c>
      <c r="E95" s="3">
        <f t="shared" si="11"/>
        <v>9</v>
      </c>
      <c r="F95" s="4">
        <v>1500</v>
      </c>
      <c r="G95" s="4">
        <f t="shared" si="8"/>
        <v>13500</v>
      </c>
      <c r="H95" s="3">
        <v>8</v>
      </c>
      <c r="I95" s="4">
        <f t="shared" si="9"/>
        <v>1500</v>
      </c>
      <c r="J95" s="4">
        <f t="shared" si="10"/>
        <v>12000</v>
      </c>
    </row>
    <row r="96" spans="1:10" x14ac:dyDescent="0.25">
      <c r="A96" s="3">
        <v>8</v>
      </c>
      <c r="B96" t="s">
        <v>91</v>
      </c>
      <c r="C96" s="3">
        <v>10</v>
      </c>
      <c r="D96" s="3"/>
      <c r="E96" s="3">
        <f t="shared" si="11"/>
        <v>10</v>
      </c>
      <c r="F96" s="4">
        <v>3350</v>
      </c>
      <c r="G96" s="4">
        <f t="shared" si="8"/>
        <v>33500</v>
      </c>
      <c r="H96" s="3">
        <v>4</v>
      </c>
      <c r="I96" s="4">
        <f t="shared" si="9"/>
        <v>3350</v>
      </c>
      <c r="J96" s="4">
        <f t="shared" si="10"/>
        <v>13400</v>
      </c>
    </row>
    <row r="97" spans="1:10" x14ac:dyDescent="0.25">
      <c r="A97" s="3">
        <v>9</v>
      </c>
      <c r="B97" t="s">
        <v>92</v>
      </c>
      <c r="C97" s="3">
        <v>1.5</v>
      </c>
      <c r="D97" s="3">
        <v>1</v>
      </c>
      <c r="E97" s="3">
        <f t="shared" si="11"/>
        <v>2.5</v>
      </c>
      <c r="F97" s="4">
        <v>23000</v>
      </c>
      <c r="G97" s="4">
        <f t="shared" si="8"/>
        <v>57500</v>
      </c>
      <c r="H97" s="3">
        <v>1.5</v>
      </c>
      <c r="I97" s="4">
        <f t="shared" si="9"/>
        <v>23000</v>
      </c>
      <c r="J97" s="4">
        <f t="shared" si="10"/>
        <v>34500</v>
      </c>
    </row>
    <row r="98" spans="1:10" x14ac:dyDescent="0.25">
      <c r="A98" s="3">
        <v>10</v>
      </c>
      <c r="B98" t="s">
        <v>93</v>
      </c>
      <c r="C98" s="3">
        <v>7</v>
      </c>
      <c r="D98" s="3"/>
      <c r="E98" s="3">
        <f t="shared" si="11"/>
        <v>7</v>
      </c>
      <c r="F98" s="4">
        <v>9000</v>
      </c>
      <c r="G98" s="4">
        <f t="shared" si="8"/>
        <v>63000</v>
      </c>
      <c r="H98" s="3">
        <v>4</v>
      </c>
      <c r="I98" s="4">
        <f t="shared" si="9"/>
        <v>9000</v>
      </c>
      <c r="J98" s="4">
        <f t="shared" si="10"/>
        <v>36000</v>
      </c>
    </row>
    <row r="99" spans="1:10" x14ac:dyDescent="0.25">
      <c r="A99" s="3">
        <v>11</v>
      </c>
      <c r="B99" t="s">
        <v>94</v>
      </c>
      <c r="C99" s="3">
        <v>2</v>
      </c>
      <c r="D99" s="3"/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1</v>
      </c>
      <c r="D100" s="3">
        <v>9</v>
      </c>
      <c r="E100" s="3">
        <f t="shared" si="11"/>
        <v>10</v>
      </c>
      <c r="F100" s="4">
        <v>8000</v>
      </c>
      <c r="G100" s="4">
        <f t="shared" si="8"/>
        <v>80000</v>
      </c>
      <c r="H100" s="3">
        <v>2</v>
      </c>
      <c r="I100" s="4">
        <f t="shared" si="9"/>
        <v>8000</v>
      </c>
      <c r="J100" s="4">
        <f t="shared" si="10"/>
        <v>16000</v>
      </c>
    </row>
    <row r="101" spans="1:10" x14ac:dyDescent="0.25">
      <c r="A101" s="3">
        <v>13</v>
      </c>
      <c r="B101" t="s">
        <v>96</v>
      </c>
      <c r="C101" s="3">
        <v>3</v>
      </c>
      <c r="D101" s="3">
        <v>10</v>
      </c>
      <c r="E101" s="3">
        <f t="shared" si="11"/>
        <v>13</v>
      </c>
      <c r="F101" s="4">
        <v>3300</v>
      </c>
      <c r="G101" s="4">
        <f t="shared" si="8"/>
        <v>42900</v>
      </c>
      <c r="H101" s="3">
        <v>4</v>
      </c>
      <c r="I101" s="4">
        <f t="shared" si="9"/>
        <v>3300</v>
      </c>
      <c r="J101" s="4">
        <f t="shared" si="10"/>
        <v>13200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>
        <v>0.5</v>
      </c>
      <c r="D109" s="3">
        <v>1</v>
      </c>
      <c r="E109" s="3">
        <f t="shared" si="11"/>
        <v>1.5</v>
      </c>
      <c r="F109" s="4">
        <v>8000</v>
      </c>
      <c r="G109" s="4">
        <f t="shared" si="8"/>
        <v>12000</v>
      </c>
      <c r="H109" s="3">
        <v>1</v>
      </c>
      <c r="I109" s="4">
        <f t="shared" si="9"/>
        <v>8000</v>
      </c>
      <c r="J109" s="4">
        <f t="shared" si="10"/>
        <v>8000</v>
      </c>
    </row>
    <row r="110" spans="1:10" x14ac:dyDescent="0.25">
      <c r="A110" s="3">
        <v>22</v>
      </c>
      <c r="B110" t="s">
        <v>105</v>
      </c>
      <c r="C110" s="3"/>
      <c r="D110" s="3">
        <v>1</v>
      </c>
      <c r="E110" s="3">
        <f t="shared" si="11"/>
        <v>1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8</v>
      </c>
      <c r="E111" s="3">
        <f t="shared" si="11"/>
        <v>12</v>
      </c>
      <c r="F111" s="4">
        <v>4000</v>
      </c>
      <c r="G111" s="4">
        <f t="shared" si="8"/>
        <v>48000</v>
      </c>
      <c r="H111" s="3">
        <v>6</v>
      </c>
      <c r="I111" s="4">
        <f t="shared" si="9"/>
        <v>4000</v>
      </c>
      <c r="J111" s="4">
        <f t="shared" si="10"/>
        <v>24000</v>
      </c>
    </row>
    <row r="112" spans="1:10" x14ac:dyDescent="0.25">
      <c r="A112" s="3">
        <v>24</v>
      </c>
      <c r="B112" t="s">
        <v>107</v>
      </c>
      <c r="C112" s="3">
        <v>5</v>
      </c>
      <c r="D112" s="3">
        <v>4</v>
      </c>
      <c r="E112" s="3">
        <f t="shared" si="11"/>
        <v>9</v>
      </c>
      <c r="F112" s="4">
        <v>24000</v>
      </c>
      <c r="G112" s="4">
        <f t="shared" si="8"/>
        <v>216000</v>
      </c>
      <c r="H112" s="3">
        <v>3</v>
      </c>
      <c r="I112" s="4">
        <f t="shared" si="9"/>
        <v>24000</v>
      </c>
      <c r="J112" s="4">
        <f t="shared" si="10"/>
        <v>72000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745620</v>
      </c>
      <c r="H121" s="5"/>
      <c r="I121" s="5"/>
      <c r="J121" s="5">
        <f>SUM(J89:J120)</f>
        <v>329150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1353080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B667-A4F0-4EED-886A-4D0C90F4718A}">
  <dimension ref="A1:M268"/>
  <sheetViews>
    <sheetView workbookViewId="0">
      <selection activeCell="D14" sqref="D14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/>
      <c r="D3" s="3">
        <v>0.75</v>
      </c>
      <c r="E3" s="3">
        <f t="shared" ref="E3:E66" si="0">C3+D3</f>
        <v>0.75</v>
      </c>
      <c r="F3" s="4">
        <v>36000</v>
      </c>
      <c r="G3" s="4">
        <f>F3*E3</f>
        <v>27000</v>
      </c>
      <c r="H3" s="3">
        <v>0.25</v>
      </c>
      <c r="I3" s="4">
        <f>F3</f>
        <v>36000</v>
      </c>
      <c r="J3" s="4">
        <f>I3*H3</f>
        <v>9000</v>
      </c>
    </row>
    <row r="4" spans="1:13" x14ac:dyDescent="0.25">
      <c r="A4" s="3">
        <v>2</v>
      </c>
      <c r="B4" t="s">
        <v>10</v>
      </c>
      <c r="C4" s="3"/>
      <c r="D4" s="3">
        <v>0.25</v>
      </c>
      <c r="E4" s="3">
        <f t="shared" si="0"/>
        <v>0.25</v>
      </c>
      <c r="F4" s="4">
        <v>36000</v>
      </c>
      <c r="G4" s="4">
        <f t="shared" ref="G4:G73" si="1">F4*E4</f>
        <v>9000</v>
      </c>
      <c r="H4" s="3">
        <v>0.16</v>
      </c>
      <c r="I4" s="4">
        <f t="shared" ref="I4:I73" si="2">F4</f>
        <v>36000</v>
      </c>
      <c r="J4" s="4">
        <f t="shared" ref="J4:J68" si="3">I4*H4</f>
        <v>5760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/>
      <c r="D6" s="3"/>
      <c r="E6" s="3">
        <f t="shared" si="0"/>
        <v>0</v>
      </c>
      <c r="F6" s="4">
        <v>60000</v>
      </c>
      <c r="G6" s="4">
        <f t="shared" si="1"/>
        <v>0</v>
      </c>
      <c r="H6" s="3"/>
      <c r="I6" s="4">
        <f t="shared" si="2"/>
        <v>60000</v>
      </c>
      <c r="J6" s="4">
        <f t="shared" si="3"/>
        <v>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0.5</v>
      </c>
      <c r="E8" s="3">
        <f t="shared" si="0"/>
        <v>0.5</v>
      </c>
      <c r="F8" s="4">
        <v>50000</v>
      </c>
      <c r="G8" s="4">
        <f t="shared" si="1"/>
        <v>25000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>
        <v>0.25</v>
      </c>
      <c r="D9" s="3">
        <v>0.75</v>
      </c>
      <c r="E9" s="3">
        <f t="shared" si="0"/>
        <v>1</v>
      </c>
      <c r="F9" s="4">
        <v>13000</v>
      </c>
      <c r="G9" s="4">
        <f t="shared" si="1"/>
        <v>13000</v>
      </c>
      <c r="H9" s="3">
        <v>0.75</v>
      </c>
      <c r="I9" s="4">
        <f t="shared" si="2"/>
        <v>13000</v>
      </c>
      <c r="J9" s="4">
        <f t="shared" si="3"/>
        <v>9750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0.5</v>
      </c>
      <c r="D19" s="3"/>
      <c r="E19" s="3">
        <f t="shared" si="0"/>
        <v>0.5</v>
      </c>
      <c r="F19" s="4">
        <v>20000</v>
      </c>
      <c r="G19" s="4">
        <f t="shared" si="1"/>
        <v>10000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/>
      <c r="D20" s="3">
        <v>1.5</v>
      </c>
      <c r="E20" s="3">
        <f t="shared" si="0"/>
        <v>1.5</v>
      </c>
      <c r="F20" s="4">
        <v>11000</v>
      </c>
      <c r="G20" s="4">
        <f t="shared" si="1"/>
        <v>16500</v>
      </c>
      <c r="H20" s="3">
        <v>0.48</v>
      </c>
      <c r="I20" s="4">
        <f t="shared" si="2"/>
        <v>11000</v>
      </c>
      <c r="J20" s="4">
        <f t="shared" si="3"/>
        <v>5280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0.25</v>
      </c>
      <c r="D22" s="3"/>
      <c r="E22" s="3">
        <f t="shared" si="0"/>
        <v>0.25</v>
      </c>
      <c r="F22" s="4">
        <v>15000</v>
      </c>
      <c r="G22" s="4">
        <f t="shared" si="1"/>
        <v>3750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/>
      <c r="D23" s="3">
        <v>3</v>
      </c>
      <c r="E23" s="3">
        <f t="shared" si="0"/>
        <v>3</v>
      </c>
      <c r="F23" s="4">
        <v>8000</v>
      </c>
      <c r="G23" s="4">
        <f>F23*E23</f>
        <v>24000</v>
      </c>
      <c r="H23" s="3">
        <v>0.65</v>
      </c>
      <c r="I23" s="4">
        <f t="shared" si="2"/>
        <v>8000</v>
      </c>
      <c r="J23" s="4">
        <f t="shared" si="3"/>
        <v>5200</v>
      </c>
    </row>
    <row r="24" spans="1:10" x14ac:dyDescent="0.25">
      <c r="A24" s="3">
        <v>22</v>
      </c>
      <c r="B24" t="s">
        <v>29</v>
      </c>
      <c r="C24" s="3"/>
      <c r="D24" s="3">
        <v>0.5</v>
      </c>
      <c r="E24" s="3">
        <f t="shared" si="0"/>
        <v>0.5</v>
      </c>
      <c r="F24" s="4">
        <v>8000</v>
      </c>
      <c r="G24" s="4">
        <f t="shared" si="1"/>
        <v>4000</v>
      </c>
      <c r="H24" s="3">
        <v>0.24</v>
      </c>
      <c r="I24" s="4">
        <f t="shared" si="2"/>
        <v>8000</v>
      </c>
      <c r="J24" s="4">
        <f t="shared" si="3"/>
        <v>1920</v>
      </c>
    </row>
    <row r="25" spans="1:10" x14ac:dyDescent="0.25">
      <c r="A25" s="3">
        <v>23</v>
      </c>
      <c r="B25" t="s">
        <v>30</v>
      </c>
      <c r="C25" s="3">
        <v>1</v>
      </c>
      <c r="D25" s="3">
        <v>1</v>
      </c>
      <c r="E25" s="3">
        <f t="shared" si="0"/>
        <v>2</v>
      </c>
      <c r="F25" s="4">
        <v>3000</v>
      </c>
      <c r="G25" s="4">
        <f t="shared" si="1"/>
        <v>6000</v>
      </c>
      <c r="H25" s="3">
        <v>1</v>
      </c>
      <c r="I25" s="4">
        <f t="shared" si="2"/>
        <v>3000</v>
      </c>
      <c r="J25" s="4">
        <f t="shared" si="3"/>
        <v>3000</v>
      </c>
    </row>
    <row r="26" spans="1:10" x14ac:dyDescent="0.25">
      <c r="A26" s="3">
        <v>24</v>
      </c>
      <c r="B26" t="s">
        <v>31</v>
      </c>
      <c r="C26" s="3"/>
      <c r="D26" s="3">
        <v>1</v>
      </c>
      <c r="E26" s="3">
        <f t="shared" si="0"/>
        <v>1</v>
      </c>
      <c r="F26" s="4">
        <v>11500</v>
      </c>
      <c r="G26" s="4">
        <f t="shared" si="1"/>
        <v>11500</v>
      </c>
      <c r="H26" s="3">
        <v>0.21</v>
      </c>
      <c r="I26" s="4">
        <f t="shared" si="2"/>
        <v>11500</v>
      </c>
      <c r="J26" s="4">
        <f t="shared" si="3"/>
        <v>2415</v>
      </c>
    </row>
    <row r="27" spans="1:10" x14ac:dyDescent="0.25">
      <c r="A27" s="3">
        <v>25</v>
      </c>
      <c r="B27" t="s">
        <v>32</v>
      </c>
      <c r="C27" s="3">
        <v>0.75</v>
      </c>
      <c r="D27" s="3"/>
      <c r="E27" s="3">
        <f t="shared" si="0"/>
        <v>0.75</v>
      </c>
      <c r="F27" s="4">
        <v>8500</v>
      </c>
      <c r="G27" s="4">
        <f t="shared" si="1"/>
        <v>6375</v>
      </c>
      <c r="H27" s="3">
        <v>0.41</v>
      </c>
      <c r="I27" s="4">
        <f t="shared" si="2"/>
        <v>8500</v>
      </c>
      <c r="J27" s="4">
        <f t="shared" si="3"/>
        <v>3485</v>
      </c>
    </row>
    <row r="28" spans="1:10" x14ac:dyDescent="0.25">
      <c r="A28" s="3">
        <v>26</v>
      </c>
      <c r="B28" t="s">
        <v>33</v>
      </c>
      <c r="C28" s="3"/>
      <c r="D28" s="3">
        <v>2</v>
      </c>
      <c r="E28" s="3">
        <f t="shared" si="0"/>
        <v>2</v>
      </c>
      <c r="F28" s="4">
        <v>3750</v>
      </c>
      <c r="G28" s="4">
        <f t="shared" si="1"/>
        <v>7500</v>
      </c>
      <c r="H28" s="3">
        <v>1</v>
      </c>
      <c r="I28" s="4">
        <f t="shared" si="2"/>
        <v>3750</v>
      </c>
      <c r="J28" s="4">
        <f t="shared" si="3"/>
        <v>3750</v>
      </c>
    </row>
    <row r="29" spans="1:10" x14ac:dyDescent="0.25">
      <c r="A29" s="3">
        <v>27</v>
      </c>
      <c r="B29" t="s">
        <v>34</v>
      </c>
      <c r="C29" s="3"/>
      <c r="D29" s="3"/>
      <c r="E29" s="3">
        <f t="shared" si="0"/>
        <v>0</v>
      </c>
      <c r="F29" s="4">
        <v>24000</v>
      </c>
      <c r="G29" s="4">
        <f t="shared" si="1"/>
        <v>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3.5</v>
      </c>
      <c r="D34" s="3"/>
      <c r="E34" s="3">
        <f t="shared" si="0"/>
        <v>3.5</v>
      </c>
      <c r="F34" s="4">
        <v>17500</v>
      </c>
      <c r="G34" s="4">
        <f t="shared" si="1"/>
        <v>61250</v>
      </c>
      <c r="H34" s="3"/>
      <c r="I34" s="4">
        <f t="shared" si="2"/>
        <v>17500</v>
      </c>
      <c r="J34" s="4">
        <f t="shared" si="3"/>
        <v>0</v>
      </c>
    </row>
    <row r="35" spans="1:10" x14ac:dyDescent="0.25">
      <c r="A35" s="3">
        <v>33</v>
      </c>
      <c r="B35" t="s">
        <v>40</v>
      </c>
      <c r="C35" s="3">
        <v>1</v>
      </c>
      <c r="D35" s="3"/>
      <c r="E35" s="3">
        <f t="shared" si="0"/>
        <v>1</v>
      </c>
      <c r="F35" s="4">
        <v>3000</v>
      </c>
      <c r="G35" s="4">
        <f t="shared" si="1"/>
        <v>3000</v>
      </c>
      <c r="H35" s="3">
        <v>0.85</v>
      </c>
      <c r="I35" s="4">
        <f t="shared" si="2"/>
        <v>3000</v>
      </c>
      <c r="J35" s="4">
        <f t="shared" si="3"/>
        <v>2550</v>
      </c>
    </row>
    <row r="36" spans="1:10" x14ac:dyDescent="0.25">
      <c r="A36" s="3">
        <v>34</v>
      </c>
      <c r="B36" t="s">
        <v>41</v>
      </c>
      <c r="C36" s="3">
        <v>1</v>
      </c>
      <c r="D36" s="3"/>
      <c r="E36" s="3">
        <f t="shared" si="0"/>
        <v>1</v>
      </c>
      <c r="F36" s="4">
        <v>11000</v>
      </c>
      <c r="G36" s="4">
        <f t="shared" si="1"/>
        <v>11000</v>
      </c>
      <c r="H36" s="3">
        <v>0.12</v>
      </c>
      <c r="I36" s="4">
        <f t="shared" si="2"/>
        <v>11000</v>
      </c>
      <c r="J36" s="4">
        <f t="shared" si="3"/>
        <v>1320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3</v>
      </c>
      <c r="E41" s="3">
        <f t="shared" si="0"/>
        <v>4</v>
      </c>
      <c r="F41" s="4">
        <v>83000</v>
      </c>
      <c r="G41" s="4">
        <f t="shared" si="1"/>
        <v>332000</v>
      </c>
      <c r="H41" s="3">
        <v>2</v>
      </c>
      <c r="I41" s="4">
        <f t="shared" si="2"/>
        <v>83000</v>
      </c>
      <c r="J41" s="4">
        <f t="shared" si="3"/>
        <v>166000</v>
      </c>
    </row>
    <row r="42" spans="1:10" x14ac:dyDescent="0.25">
      <c r="A42" s="3">
        <v>40</v>
      </c>
      <c r="B42" t="s">
        <v>47</v>
      </c>
      <c r="C42" s="3">
        <v>2</v>
      </c>
      <c r="D42" s="3">
        <v>4</v>
      </c>
      <c r="E42" s="3">
        <f t="shared" si="0"/>
        <v>6</v>
      </c>
      <c r="F42" s="4">
        <v>21000</v>
      </c>
      <c r="G42" s="4">
        <f t="shared" si="1"/>
        <v>126000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>
        <v>6</v>
      </c>
      <c r="D43" s="3"/>
      <c r="E43" s="3">
        <f t="shared" si="0"/>
        <v>6</v>
      </c>
      <c r="F43" s="4">
        <v>25000</v>
      </c>
      <c r="G43" s="4">
        <f t="shared" si="1"/>
        <v>150000</v>
      </c>
      <c r="H43" s="3">
        <v>3</v>
      </c>
      <c r="I43" s="4">
        <f t="shared" si="2"/>
        <v>25000</v>
      </c>
      <c r="J43" s="4">
        <f t="shared" si="3"/>
        <v>75000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>
        <v>2</v>
      </c>
      <c r="E45" s="3">
        <f t="shared" si="0"/>
        <v>4</v>
      </c>
      <c r="F45" s="4">
        <v>15500</v>
      </c>
      <c r="G45" s="4">
        <f t="shared" si="1"/>
        <v>62000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18</v>
      </c>
      <c r="D49" s="3"/>
      <c r="E49" s="3">
        <f t="shared" si="0"/>
        <v>18</v>
      </c>
      <c r="F49" s="4">
        <v>6000</v>
      </c>
      <c r="G49" s="4">
        <f t="shared" si="1"/>
        <v>108000</v>
      </c>
      <c r="H49" s="3">
        <v>11</v>
      </c>
      <c r="I49" s="4">
        <f t="shared" si="2"/>
        <v>6000</v>
      </c>
      <c r="J49" s="4">
        <f t="shared" si="3"/>
        <v>66000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0.5</v>
      </c>
      <c r="D51" s="3">
        <v>2</v>
      </c>
      <c r="E51" s="3">
        <f t="shared" si="0"/>
        <v>2.5</v>
      </c>
      <c r="F51" s="4">
        <v>12000</v>
      </c>
      <c r="G51" s="4">
        <f>F51*E51</f>
        <v>30000</v>
      </c>
      <c r="H51" s="3">
        <v>0.25</v>
      </c>
      <c r="I51" s="4">
        <f t="shared" si="2"/>
        <v>12000</v>
      </c>
      <c r="J51" s="4">
        <f t="shared" si="3"/>
        <v>3000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0.25</v>
      </c>
      <c r="D59" s="3">
        <v>1</v>
      </c>
      <c r="E59" s="3">
        <f t="shared" si="0"/>
        <v>1.25</v>
      </c>
      <c r="F59" s="4">
        <v>20000</v>
      </c>
      <c r="G59" s="4">
        <f t="shared" si="1"/>
        <v>25000</v>
      </c>
      <c r="H59" s="3">
        <v>0.5</v>
      </c>
      <c r="I59" s="4">
        <f t="shared" si="2"/>
        <v>20000</v>
      </c>
      <c r="J59" s="4">
        <f t="shared" si="3"/>
        <v>10000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10</v>
      </c>
      <c r="D61" s="3">
        <v>98</v>
      </c>
      <c r="E61" s="3">
        <f t="shared" si="0"/>
        <v>108</v>
      </c>
      <c r="F61" s="4">
        <v>5700</v>
      </c>
      <c r="G61" s="4">
        <f t="shared" si="1"/>
        <v>615600</v>
      </c>
      <c r="H61" s="3">
        <v>37</v>
      </c>
      <c r="I61" s="4">
        <f t="shared" si="2"/>
        <v>5700</v>
      </c>
      <c r="J61" s="4">
        <f t="shared" si="3"/>
        <v>210900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14</v>
      </c>
      <c r="D64" s="3"/>
      <c r="E64" s="3">
        <f t="shared" si="0"/>
        <v>14</v>
      </c>
      <c r="F64" s="4">
        <v>4875</v>
      </c>
      <c r="G64" s="4">
        <f t="shared" si="1"/>
        <v>68250</v>
      </c>
      <c r="H64" s="3"/>
      <c r="I64" s="4">
        <f t="shared" si="2"/>
        <v>4875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>
        <v>13</v>
      </c>
      <c r="D65" s="3"/>
      <c r="E65" s="3">
        <f t="shared" si="0"/>
        <v>13</v>
      </c>
      <c r="F65" s="4">
        <v>21000</v>
      </c>
      <c r="G65" s="4">
        <f t="shared" si="1"/>
        <v>273000</v>
      </c>
      <c r="H65" s="3">
        <v>7</v>
      </c>
      <c r="I65" s="4">
        <f t="shared" si="2"/>
        <v>21000</v>
      </c>
      <c r="J65" s="4">
        <f t="shared" si="3"/>
        <v>147000</v>
      </c>
    </row>
    <row r="66" spans="1:10" x14ac:dyDescent="0.25">
      <c r="A66" s="3">
        <v>64</v>
      </c>
      <c r="B66" t="s">
        <v>115</v>
      </c>
      <c r="C66" s="3">
        <v>0.25</v>
      </c>
      <c r="D66" s="3"/>
      <c r="E66" s="3">
        <f t="shared" si="0"/>
        <v>0.25</v>
      </c>
      <c r="F66" s="4">
        <v>100000</v>
      </c>
      <c r="G66" s="4">
        <f t="shared" si="1"/>
        <v>25000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>
        <v>1.25</v>
      </c>
      <c r="D67" s="3"/>
      <c r="E67" s="3">
        <f t="shared" ref="E67:E83" si="4">C67+D67</f>
        <v>1.25</v>
      </c>
      <c r="F67" s="4">
        <v>17500</v>
      </c>
      <c r="G67" s="4">
        <f t="shared" si="1"/>
        <v>21875</v>
      </c>
      <c r="H67" s="3"/>
      <c r="I67" s="4">
        <f t="shared" si="2"/>
        <v>17500</v>
      </c>
      <c r="J67" s="4">
        <f t="shared" si="3"/>
        <v>0</v>
      </c>
    </row>
    <row r="68" spans="1:10" x14ac:dyDescent="0.25">
      <c r="A68" s="3">
        <v>66</v>
      </c>
      <c r="B68" t="s">
        <v>72</v>
      </c>
      <c r="C68" s="3">
        <v>0.25</v>
      </c>
      <c r="D68" s="3">
        <v>2</v>
      </c>
      <c r="E68" s="3">
        <f t="shared" si="4"/>
        <v>2.25</v>
      </c>
      <c r="F68" s="4">
        <v>8000</v>
      </c>
      <c r="G68" s="4">
        <f t="shared" si="1"/>
        <v>18000</v>
      </c>
      <c r="H68" s="3"/>
      <c r="I68" s="4">
        <f t="shared" si="2"/>
        <v>8000</v>
      </c>
      <c r="J68" s="4">
        <f t="shared" si="3"/>
        <v>0</v>
      </c>
    </row>
    <row r="69" spans="1:10" x14ac:dyDescent="0.25">
      <c r="A69" s="3">
        <v>67</v>
      </c>
      <c r="B69" t="s">
        <v>73</v>
      </c>
      <c r="C69" s="3"/>
      <c r="D69" s="3">
        <v>2</v>
      </c>
      <c r="E69" s="3">
        <f t="shared" si="4"/>
        <v>2</v>
      </c>
      <c r="F69" s="4"/>
      <c r="G69" s="4">
        <f t="shared" si="1"/>
        <v>0</v>
      </c>
      <c r="H69" s="3">
        <v>0.7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0.5</v>
      </c>
      <c r="D70" s="3"/>
      <c r="E70" s="3">
        <f t="shared" si="4"/>
        <v>0.5</v>
      </c>
      <c r="F70" s="4">
        <v>24000</v>
      </c>
      <c r="G70" s="4">
        <f t="shared" si="1"/>
        <v>12000</v>
      </c>
      <c r="H70" s="3"/>
      <c r="I70" s="4">
        <f t="shared" si="2"/>
        <v>24000</v>
      </c>
      <c r="J70" s="4">
        <f t="shared" si="5"/>
        <v>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/>
      <c r="E72" s="3">
        <f t="shared" si="4"/>
        <v>2</v>
      </c>
      <c r="F72" s="4">
        <v>15000</v>
      </c>
      <c r="G72" s="4">
        <f>F72*E72</f>
        <v>30000</v>
      </c>
      <c r="H72" s="3">
        <v>1</v>
      </c>
      <c r="I72" s="4">
        <f t="shared" si="2"/>
        <v>15000</v>
      </c>
      <c r="J72" s="4">
        <f t="shared" si="5"/>
        <v>15000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22</v>
      </c>
      <c r="D74" s="3"/>
      <c r="E74" s="3">
        <f t="shared" si="4"/>
        <v>22</v>
      </c>
      <c r="F74" s="4"/>
      <c r="G74" s="4">
        <f t="shared" ref="G74:G83" si="6">F74*E74</f>
        <v>0</v>
      </c>
      <c r="H74" s="3">
        <v>21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22</v>
      </c>
      <c r="D75" s="3"/>
      <c r="E75" s="3">
        <f t="shared" si="4"/>
        <v>22</v>
      </c>
      <c r="F75" s="4"/>
      <c r="G75" s="4">
        <f t="shared" si="6"/>
        <v>0</v>
      </c>
      <c r="H75" s="3">
        <v>22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15</v>
      </c>
      <c r="D76" s="3"/>
      <c r="E76" s="3">
        <f t="shared" si="4"/>
        <v>15</v>
      </c>
      <c r="F76" s="4">
        <v>4875</v>
      </c>
      <c r="G76" s="4">
        <f t="shared" si="6"/>
        <v>73125</v>
      </c>
      <c r="H76" s="3">
        <v>8</v>
      </c>
      <c r="I76" s="4">
        <f t="shared" si="7"/>
        <v>4875</v>
      </c>
      <c r="J76" s="4">
        <f t="shared" si="5"/>
        <v>39000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2218725</v>
      </c>
      <c r="H85" s="5"/>
      <c r="I85" s="5"/>
      <c r="J85" s="5">
        <f>SUM(J3:J84)</f>
        <v>816330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5</v>
      </c>
      <c r="D89" s="3"/>
      <c r="E89" s="3">
        <f>C89+D89</f>
        <v>5</v>
      </c>
      <c r="F89" s="4">
        <v>1240</v>
      </c>
      <c r="G89" s="4">
        <f>F89*E89</f>
        <v>6200</v>
      </c>
      <c r="H89" s="3"/>
      <c r="I89" s="4">
        <f>F89</f>
        <v>1240</v>
      </c>
      <c r="J89" s="4">
        <f>I89*H89</f>
        <v>0</v>
      </c>
    </row>
    <row r="90" spans="1:10" x14ac:dyDescent="0.25">
      <c r="A90" s="3">
        <v>2</v>
      </c>
      <c r="B90" t="s">
        <v>85</v>
      </c>
      <c r="C90" s="3">
        <v>29</v>
      </c>
      <c r="D90" s="3">
        <v>11</v>
      </c>
      <c r="E90" s="3">
        <f>C90+D90</f>
        <v>40</v>
      </c>
      <c r="F90" s="4">
        <v>1000</v>
      </c>
      <c r="G90" s="4">
        <f t="shared" ref="G90:G120" si="8">F90*E90</f>
        <v>40000</v>
      </c>
      <c r="H90" s="3">
        <v>26</v>
      </c>
      <c r="I90" s="4">
        <f t="shared" ref="I90:I120" si="9">F90</f>
        <v>1000</v>
      </c>
      <c r="J90" s="4">
        <f t="shared" ref="J90:J120" si="10">I90*H90</f>
        <v>26000</v>
      </c>
    </row>
    <row r="91" spans="1:10" x14ac:dyDescent="0.25">
      <c r="A91" s="3">
        <v>3</v>
      </c>
      <c r="B91" t="s">
        <v>86</v>
      </c>
      <c r="C91" s="3">
        <v>8</v>
      </c>
      <c r="D91" s="3">
        <v>10</v>
      </c>
      <c r="E91" s="3">
        <f t="shared" ref="E91:E120" si="11">C91+D91</f>
        <v>18</v>
      </c>
      <c r="F91" s="4">
        <v>1650</v>
      </c>
      <c r="G91" s="4">
        <f t="shared" si="8"/>
        <v>29700</v>
      </c>
      <c r="H91" s="3">
        <v>12</v>
      </c>
      <c r="I91" s="4">
        <f t="shared" si="9"/>
        <v>1650</v>
      </c>
      <c r="J91" s="4">
        <f t="shared" si="10"/>
        <v>19800</v>
      </c>
    </row>
    <row r="92" spans="1:10" x14ac:dyDescent="0.25">
      <c r="A92" s="3">
        <v>4</v>
      </c>
      <c r="B92" t="s">
        <v>87</v>
      </c>
      <c r="C92" s="3">
        <v>11</v>
      </c>
      <c r="D92" s="3"/>
      <c r="E92" s="3">
        <f t="shared" si="11"/>
        <v>11</v>
      </c>
      <c r="F92" s="4">
        <v>1650</v>
      </c>
      <c r="G92" s="4">
        <f t="shared" si="8"/>
        <v>18150</v>
      </c>
      <c r="H92" s="3">
        <v>8</v>
      </c>
      <c r="I92" s="4">
        <f t="shared" si="9"/>
        <v>1650</v>
      </c>
      <c r="J92" s="4">
        <f t="shared" si="10"/>
        <v>13200</v>
      </c>
    </row>
    <row r="93" spans="1:10" x14ac:dyDescent="0.25">
      <c r="A93" s="3">
        <v>5</v>
      </c>
      <c r="B93" t="s">
        <v>88</v>
      </c>
      <c r="C93" s="3">
        <v>8</v>
      </c>
      <c r="D93" s="3"/>
      <c r="E93" s="3">
        <f t="shared" si="11"/>
        <v>8</v>
      </c>
      <c r="F93" s="4">
        <v>1750</v>
      </c>
      <c r="G93" s="4">
        <f t="shared" si="8"/>
        <v>14000</v>
      </c>
      <c r="H93" s="3">
        <v>6</v>
      </c>
      <c r="I93" s="4">
        <f t="shared" si="9"/>
        <v>1750</v>
      </c>
      <c r="J93" s="4">
        <f t="shared" si="10"/>
        <v>10500</v>
      </c>
    </row>
    <row r="94" spans="1:10" x14ac:dyDescent="0.25">
      <c r="A94" s="3">
        <v>6</v>
      </c>
      <c r="B94" t="s">
        <v>89</v>
      </c>
      <c r="C94" s="3">
        <v>9</v>
      </c>
      <c r="D94" s="3">
        <v>6</v>
      </c>
      <c r="E94" s="3">
        <f t="shared" si="11"/>
        <v>15</v>
      </c>
      <c r="F94" s="4">
        <v>1500</v>
      </c>
      <c r="G94" s="4">
        <f t="shared" si="8"/>
        <v>22500</v>
      </c>
      <c r="H94" s="3">
        <v>11</v>
      </c>
      <c r="I94" s="4">
        <f t="shared" si="9"/>
        <v>1500</v>
      </c>
      <c r="J94" s="4">
        <f t="shared" si="10"/>
        <v>16500</v>
      </c>
    </row>
    <row r="95" spans="1:10" x14ac:dyDescent="0.25">
      <c r="A95" s="3">
        <v>7</v>
      </c>
      <c r="B95" t="s">
        <v>90</v>
      </c>
      <c r="C95" s="3">
        <v>8</v>
      </c>
      <c r="D95" s="3"/>
      <c r="E95" s="3">
        <f t="shared" si="11"/>
        <v>8</v>
      </c>
      <c r="F95" s="4">
        <v>1500</v>
      </c>
      <c r="G95" s="4">
        <f t="shared" si="8"/>
        <v>12000</v>
      </c>
      <c r="H95" s="3">
        <v>3</v>
      </c>
      <c r="I95" s="4">
        <f t="shared" si="9"/>
        <v>1500</v>
      </c>
      <c r="J95" s="4">
        <f t="shared" si="10"/>
        <v>4500</v>
      </c>
    </row>
    <row r="96" spans="1:10" x14ac:dyDescent="0.25">
      <c r="A96" s="3">
        <v>8</v>
      </c>
      <c r="B96" t="s">
        <v>91</v>
      </c>
      <c r="C96" s="3">
        <v>4</v>
      </c>
      <c r="D96" s="3">
        <v>12</v>
      </c>
      <c r="E96" s="3">
        <f t="shared" si="11"/>
        <v>16</v>
      </c>
      <c r="F96" s="4">
        <v>3350</v>
      </c>
      <c r="G96" s="4">
        <f t="shared" si="8"/>
        <v>53600</v>
      </c>
      <c r="H96" s="3">
        <v>16</v>
      </c>
      <c r="I96" s="4">
        <f t="shared" si="9"/>
        <v>3350</v>
      </c>
      <c r="J96" s="4">
        <f t="shared" si="10"/>
        <v>53600</v>
      </c>
    </row>
    <row r="97" spans="1:10" x14ac:dyDescent="0.25">
      <c r="A97" s="3">
        <v>9</v>
      </c>
      <c r="B97" t="s">
        <v>92</v>
      </c>
      <c r="C97" s="3">
        <v>1.5</v>
      </c>
      <c r="D97" s="3">
        <v>1</v>
      </c>
      <c r="E97" s="3">
        <f t="shared" si="11"/>
        <v>2.5</v>
      </c>
      <c r="F97" s="4">
        <v>23000</v>
      </c>
      <c r="G97" s="4">
        <f t="shared" si="8"/>
        <v>57500</v>
      </c>
      <c r="H97" s="3">
        <v>2</v>
      </c>
      <c r="I97" s="4">
        <f t="shared" si="9"/>
        <v>23000</v>
      </c>
      <c r="J97" s="4">
        <f t="shared" si="10"/>
        <v>46000</v>
      </c>
    </row>
    <row r="98" spans="1:10" x14ac:dyDescent="0.25">
      <c r="A98" s="3">
        <v>10</v>
      </c>
      <c r="B98" t="s">
        <v>93</v>
      </c>
      <c r="C98" s="3">
        <v>4</v>
      </c>
      <c r="D98" s="3">
        <v>10</v>
      </c>
      <c r="E98" s="3">
        <f t="shared" si="11"/>
        <v>14</v>
      </c>
      <c r="F98" s="4">
        <v>9000</v>
      </c>
      <c r="G98" s="4">
        <f t="shared" si="8"/>
        <v>126000</v>
      </c>
      <c r="H98" s="3">
        <v>12</v>
      </c>
      <c r="I98" s="4">
        <f t="shared" si="9"/>
        <v>9000</v>
      </c>
      <c r="J98" s="4">
        <f t="shared" si="10"/>
        <v>108000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2</v>
      </c>
      <c r="D100" s="3">
        <v>7</v>
      </c>
      <c r="E100" s="3">
        <f t="shared" si="11"/>
        <v>9</v>
      </c>
      <c r="F100" s="4">
        <v>8000</v>
      </c>
      <c r="G100" s="4">
        <f t="shared" si="8"/>
        <v>72000</v>
      </c>
      <c r="H100" s="3">
        <v>1</v>
      </c>
      <c r="I100" s="4">
        <f t="shared" si="9"/>
        <v>8000</v>
      </c>
      <c r="J100" s="4">
        <f t="shared" si="10"/>
        <v>8000</v>
      </c>
    </row>
    <row r="101" spans="1:10" x14ac:dyDescent="0.25">
      <c r="A101" s="3">
        <v>13</v>
      </c>
      <c r="B101" t="s">
        <v>96</v>
      </c>
      <c r="C101" s="3">
        <v>4</v>
      </c>
      <c r="D101" s="3"/>
      <c r="E101" s="3">
        <f t="shared" si="11"/>
        <v>4</v>
      </c>
      <c r="F101" s="4">
        <v>3300</v>
      </c>
      <c r="G101" s="4">
        <f t="shared" si="8"/>
        <v>13200</v>
      </c>
      <c r="H101" s="3">
        <v>4</v>
      </c>
      <c r="I101" s="4">
        <f t="shared" si="9"/>
        <v>3300</v>
      </c>
      <c r="J101" s="4">
        <f t="shared" si="10"/>
        <v>13200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>
        <v>1</v>
      </c>
      <c r="E108" s="3">
        <f t="shared" si="11"/>
        <v>1</v>
      </c>
      <c r="F108" s="4">
        <v>6000</v>
      </c>
      <c r="G108" s="4">
        <f t="shared" si="8"/>
        <v>6000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>
        <v>1</v>
      </c>
      <c r="D109" s="3"/>
      <c r="E109" s="3">
        <f t="shared" si="11"/>
        <v>1</v>
      </c>
      <c r="F109" s="4">
        <v>8000</v>
      </c>
      <c r="G109" s="4">
        <f t="shared" si="8"/>
        <v>8000</v>
      </c>
      <c r="H109" s="3">
        <v>1</v>
      </c>
      <c r="I109" s="4">
        <f t="shared" si="9"/>
        <v>8000</v>
      </c>
      <c r="J109" s="4">
        <f t="shared" si="10"/>
        <v>8000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6</v>
      </c>
      <c r="D111" s="3"/>
      <c r="E111" s="3">
        <f t="shared" si="11"/>
        <v>6</v>
      </c>
      <c r="F111" s="4">
        <v>4000</v>
      </c>
      <c r="G111" s="4">
        <f t="shared" si="8"/>
        <v>24000</v>
      </c>
      <c r="H111" s="3">
        <v>2</v>
      </c>
      <c r="I111" s="4">
        <f t="shared" si="9"/>
        <v>4000</v>
      </c>
      <c r="J111" s="4">
        <f t="shared" si="10"/>
        <v>8000</v>
      </c>
    </row>
    <row r="112" spans="1:10" x14ac:dyDescent="0.25">
      <c r="A112" s="3">
        <v>24</v>
      </c>
      <c r="B112" t="s">
        <v>107</v>
      </c>
      <c r="C112" s="3">
        <v>3</v>
      </c>
      <c r="D112" s="3">
        <v>4</v>
      </c>
      <c r="E112" s="3">
        <f t="shared" si="11"/>
        <v>7</v>
      </c>
      <c r="F112" s="4">
        <v>24000</v>
      </c>
      <c r="G112" s="4">
        <f t="shared" si="8"/>
        <v>168000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682850</v>
      </c>
      <c r="H121" s="5"/>
      <c r="I121" s="5"/>
      <c r="J121" s="5">
        <f>SUM(J89:J120)</f>
        <v>389300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1205630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928F-F695-470F-BFF1-68CD63B3D5B3}">
  <dimension ref="A1:M268"/>
  <sheetViews>
    <sheetView topLeftCell="A46" workbookViewId="0">
      <selection activeCell="H63" sqref="H63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0.25</v>
      </c>
      <c r="D3" s="3">
        <v>0.5</v>
      </c>
      <c r="E3" s="3">
        <f t="shared" ref="E3:E66" si="0">C3+D3</f>
        <v>0.75</v>
      </c>
      <c r="F3" s="4">
        <v>36000</v>
      </c>
      <c r="G3" s="4">
        <f>F3*E3</f>
        <v>27000</v>
      </c>
      <c r="H3" s="3">
        <v>0.25</v>
      </c>
      <c r="I3" s="4">
        <f>F3</f>
        <v>36000</v>
      </c>
      <c r="J3" s="4">
        <f>I3*H3</f>
        <v>9000</v>
      </c>
    </row>
    <row r="4" spans="1:13" x14ac:dyDescent="0.25">
      <c r="A4" s="3">
        <v>2</v>
      </c>
      <c r="B4" t="s">
        <v>10</v>
      </c>
      <c r="C4" s="3">
        <v>0.16</v>
      </c>
      <c r="D4" s="3">
        <v>1</v>
      </c>
      <c r="E4" s="3">
        <f t="shared" si="0"/>
        <v>1.1599999999999999</v>
      </c>
      <c r="F4" s="4">
        <v>36000</v>
      </c>
      <c r="G4" s="4">
        <f t="shared" ref="G4:G73" si="1">F4*E4</f>
        <v>41760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/>
      <c r="D6" s="3">
        <v>0.5</v>
      </c>
      <c r="E6" s="3">
        <f t="shared" si="0"/>
        <v>0.5</v>
      </c>
      <c r="F6" s="4">
        <v>60000</v>
      </c>
      <c r="G6" s="4">
        <f t="shared" si="1"/>
        <v>30000</v>
      </c>
      <c r="H6" s="3">
        <v>0.17</v>
      </c>
      <c r="I6" s="4">
        <f t="shared" si="2"/>
        <v>60000</v>
      </c>
      <c r="J6" s="4">
        <f t="shared" si="3"/>
        <v>10200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0.25</v>
      </c>
      <c r="E8" s="3">
        <f t="shared" si="0"/>
        <v>0.25</v>
      </c>
      <c r="F8" s="4">
        <v>50000</v>
      </c>
      <c r="G8" s="4">
        <f t="shared" si="1"/>
        <v>12500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>
        <v>0.75</v>
      </c>
      <c r="D9" s="3">
        <v>1</v>
      </c>
      <c r="E9" s="3">
        <f t="shared" si="0"/>
        <v>1.75</v>
      </c>
      <c r="F9" s="4">
        <v>13000</v>
      </c>
      <c r="G9" s="4">
        <f t="shared" si="1"/>
        <v>22750</v>
      </c>
      <c r="H9" s="3">
        <v>1</v>
      </c>
      <c r="I9" s="4">
        <f t="shared" si="2"/>
        <v>13000</v>
      </c>
      <c r="J9" s="4">
        <f t="shared" si="3"/>
        <v>13000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>
        <v>0.5</v>
      </c>
      <c r="E19" s="3">
        <f t="shared" si="0"/>
        <v>0.5</v>
      </c>
      <c r="F19" s="4">
        <v>20000</v>
      </c>
      <c r="G19" s="4">
        <f t="shared" si="1"/>
        <v>10000</v>
      </c>
      <c r="H19" s="3">
        <v>0.5</v>
      </c>
      <c r="I19" s="4">
        <f t="shared" si="2"/>
        <v>20000</v>
      </c>
      <c r="J19" s="4">
        <f t="shared" si="3"/>
        <v>10000</v>
      </c>
    </row>
    <row r="20" spans="1:10" x14ac:dyDescent="0.25">
      <c r="A20" s="3">
        <v>18</v>
      </c>
      <c r="B20" t="s">
        <v>25</v>
      </c>
      <c r="C20" s="3">
        <v>0.48</v>
      </c>
      <c r="D20" s="3">
        <v>2</v>
      </c>
      <c r="E20" s="3">
        <f t="shared" si="0"/>
        <v>2.48</v>
      </c>
      <c r="F20" s="4">
        <v>11000</v>
      </c>
      <c r="G20" s="4">
        <f t="shared" si="1"/>
        <v>27280</v>
      </c>
      <c r="H20" s="3">
        <v>1.6</v>
      </c>
      <c r="I20" s="4">
        <f t="shared" si="2"/>
        <v>11000</v>
      </c>
      <c r="J20" s="4">
        <f t="shared" si="3"/>
        <v>17600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>
        <v>0.25</v>
      </c>
      <c r="E22" s="3">
        <f t="shared" si="0"/>
        <v>0.25</v>
      </c>
      <c r="F22" s="4">
        <v>15000</v>
      </c>
      <c r="G22" s="4">
        <f t="shared" si="1"/>
        <v>3750</v>
      </c>
      <c r="H22" s="3">
        <v>0.14000000000000001</v>
      </c>
      <c r="I22" s="4">
        <f t="shared" si="2"/>
        <v>15000</v>
      </c>
      <c r="J22" s="4">
        <f t="shared" si="3"/>
        <v>2100</v>
      </c>
    </row>
    <row r="23" spans="1:10" x14ac:dyDescent="0.25">
      <c r="A23" s="3">
        <v>21</v>
      </c>
      <c r="B23" t="s">
        <v>28</v>
      </c>
      <c r="C23" s="3">
        <v>0.65</v>
      </c>
      <c r="D23" s="3">
        <v>3</v>
      </c>
      <c r="E23" s="3">
        <f t="shared" si="0"/>
        <v>3.65</v>
      </c>
      <c r="F23" s="4">
        <v>8000</v>
      </c>
      <c r="G23" s="4">
        <f>F23*E23</f>
        <v>29200</v>
      </c>
      <c r="H23" s="3">
        <v>1.2</v>
      </c>
      <c r="I23" s="4">
        <f t="shared" si="2"/>
        <v>8000</v>
      </c>
      <c r="J23" s="4">
        <f t="shared" si="3"/>
        <v>9600</v>
      </c>
    </row>
    <row r="24" spans="1:10" x14ac:dyDescent="0.25">
      <c r="A24" s="3">
        <v>22</v>
      </c>
      <c r="B24" t="s">
        <v>29</v>
      </c>
      <c r="C24" s="3">
        <v>0.24</v>
      </c>
      <c r="D24" s="3"/>
      <c r="E24" s="3">
        <f t="shared" si="0"/>
        <v>0.24</v>
      </c>
      <c r="F24" s="4">
        <v>8000</v>
      </c>
      <c r="G24" s="4">
        <f t="shared" si="1"/>
        <v>1920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>
        <v>1</v>
      </c>
      <c r="D25" s="3">
        <v>2</v>
      </c>
      <c r="E25" s="3">
        <f t="shared" si="0"/>
        <v>3</v>
      </c>
      <c r="F25" s="4">
        <v>3000</v>
      </c>
      <c r="G25" s="4">
        <f t="shared" si="1"/>
        <v>9000</v>
      </c>
      <c r="H25" s="3">
        <v>2</v>
      </c>
      <c r="I25" s="4">
        <f t="shared" si="2"/>
        <v>3000</v>
      </c>
      <c r="J25" s="4">
        <f t="shared" si="3"/>
        <v>6000</v>
      </c>
    </row>
    <row r="26" spans="1:10" x14ac:dyDescent="0.25">
      <c r="A26" s="3">
        <v>24</v>
      </c>
      <c r="B26" t="s">
        <v>31</v>
      </c>
      <c r="C26" s="3">
        <v>0.21</v>
      </c>
      <c r="D26" s="3">
        <v>1</v>
      </c>
      <c r="E26" s="3">
        <f t="shared" si="0"/>
        <v>1.21</v>
      </c>
      <c r="F26" s="4">
        <v>11500</v>
      </c>
      <c r="G26" s="4">
        <f t="shared" si="1"/>
        <v>13915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>
        <v>0.41</v>
      </c>
      <c r="D27" s="3"/>
      <c r="E27" s="3">
        <f t="shared" si="0"/>
        <v>0.41</v>
      </c>
      <c r="F27" s="4">
        <v>8500</v>
      </c>
      <c r="G27" s="4">
        <f t="shared" si="1"/>
        <v>3485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>
        <v>1</v>
      </c>
      <c r="D28" s="3"/>
      <c r="E28" s="3">
        <f t="shared" si="0"/>
        <v>1</v>
      </c>
      <c r="F28" s="4">
        <v>3750</v>
      </c>
      <c r="G28" s="4">
        <f t="shared" si="1"/>
        <v>3750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>
        <v>0.25</v>
      </c>
      <c r="E29" s="3">
        <f t="shared" si="0"/>
        <v>0.25</v>
      </c>
      <c r="F29" s="4">
        <v>24000</v>
      </c>
      <c r="G29" s="4">
        <f t="shared" si="1"/>
        <v>6000</v>
      </c>
      <c r="H29" s="3">
        <v>0.1</v>
      </c>
      <c r="I29" s="4">
        <f t="shared" si="2"/>
        <v>24000</v>
      </c>
      <c r="J29" s="4">
        <f t="shared" si="3"/>
        <v>2400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/>
      <c r="D34" s="3">
        <v>7</v>
      </c>
      <c r="E34" s="3">
        <f t="shared" si="0"/>
        <v>7</v>
      </c>
      <c r="F34" s="4">
        <v>17500</v>
      </c>
      <c r="G34" s="4">
        <f t="shared" si="1"/>
        <v>122500</v>
      </c>
      <c r="H34" s="3">
        <v>2</v>
      </c>
      <c r="I34" s="4">
        <f t="shared" si="2"/>
        <v>17500</v>
      </c>
      <c r="J34" s="4">
        <f t="shared" si="3"/>
        <v>35000</v>
      </c>
    </row>
    <row r="35" spans="1:10" x14ac:dyDescent="0.25">
      <c r="A35" s="3">
        <v>33</v>
      </c>
      <c r="B35" t="s">
        <v>40</v>
      </c>
      <c r="C35" s="3">
        <v>0.85</v>
      </c>
      <c r="D35" s="3"/>
      <c r="E35" s="3">
        <f t="shared" si="0"/>
        <v>0.85</v>
      </c>
      <c r="F35" s="4">
        <v>3000</v>
      </c>
      <c r="G35" s="4">
        <f t="shared" si="1"/>
        <v>2550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>
        <v>0.12</v>
      </c>
      <c r="D36" s="3"/>
      <c r="E36" s="3">
        <f t="shared" si="0"/>
        <v>0.12</v>
      </c>
      <c r="F36" s="4">
        <v>11000</v>
      </c>
      <c r="G36" s="4">
        <f t="shared" si="1"/>
        <v>1320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2</v>
      </c>
      <c r="E41" s="3">
        <f t="shared" si="0"/>
        <v>4</v>
      </c>
      <c r="F41" s="4">
        <v>83000</v>
      </c>
      <c r="G41" s="4">
        <f t="shared" si="1"/>
        <v>332000</v>
      </c>
      <c r="H41" s="3">
        <v>2</v>
      </c>
      <c r="I41" s="4">
        <f t="shared" si="2"/>
        <v>83000</v>
      </c>
      <c r="J41" s="4">
        <f t="shared" si="3"/>
        <v>166000</v>
      </c>
    </row>
    <row r="42" spans="1:10" x14ac:dyDescent="0.25">
      <c r="A42" s="3">
        <v>40</v>
      </c>
      <c r="B42" t="s">
        <v>47</v>
      </c>
      <c r="C42" s="3"/>
      <c r="D42" s="3">
        <v>5</v>
      </c>
      <c r="E42" s="3">
        <f t="shared" si="0"/>
        <v>5</v>
      </c>
      <c r="F42" s="4">
        <v>21000</v>
      </c>
      <c r="G42" s="4">
        <f t="shared" si="1"/>
        <v>105000</v>
      </c>
      <c r="H42" s="3">
        <v>1</v>
      </c>
      <c r="I42" s="4">
        <f t="shared" si="2"/>
        <v>21000</v>
      </c>
      <c r="J42" s="4">
        <f t="shared" si="3"/>
        <v>21000</v>
      </c>
    </row>
    <row r="43" spans="1:10" x14ac:dyDescent="0.25">
      <c r="A43" s="3">
        <v>41</v>
      </c>
      <c r="B43" t="s">
        <v>48</v>
      </c>
      <c r="C43" s="3">
        <v>3</v>
      </c>
      <c r="D43" s="3">
        <v>10</v>
      </c>
      <c r="E43" s="3">
        <f t="shared" si="0"/>
        <v>13</v>
      </c>
      <c r="F43" s="4">
        <v>25000</v>
      </c>
      <c r="G43" s="4">
        <f t="shared" si="1"/>
        <v>325000</v>
      </c>
      <c r="H43" s="3">
        <v>10.5</v>
      </c>
      <c r="I43" s="4">
        <f t="shared" si="2"/>
        <v>25000</v>
      </c>
      <c r="J43" s="4">
        <f t="shared" si="3"/>
        <v>262500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/>
      <c r="E45" s="3">
        <f t="shared" si="0"/>
        <v>2</v>
      </c>
      <c r="F45" s="4">
        <v>15500</v>
      </c>
      <c r="G45" s="4">
        <f t="shared" si="1"/>
        <v>31000</v>
      </c>
      <c r="H45" s="3"/>
      <c r="I45" s="4">
        <f t="shared" si="2"/>
        <v>15500</v>
      </c>
      <c r="J45" s="4">
        <f t="shared" si="3"/>
        <v>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>
        <v>1</v>
      </c>
      <c r="E48" s="3">
        <f t="shared" si="0"/>
        <v>1</v>
      </c>
      <c r="F48" s="4"/>
      <c r="G48" s="4">
        <f t="shared" si="1"/>
        <v>0</v>
      </c>
      <c r="H48" s="3">
        <v>1</v>
      </c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11</v>
      </c>
      <c r="D49" s="3"/>
      <c r="E49" s="3">
        <f t="shared" si="0"/>
        <v>11</v>
      </c>
      <c r="F49" s="4">
        <v>6000</v>
      </c>
      <c r="G49" s="4">
        <f t="shared" si="1"/>
        <v>66000</v>
      </c>
      <c r="H49" s="3">
        <v>4</v>
      </c>
      <c r="I49" s="4">
        <f t="shared" si="2"/>
        <v>6000</v>
      </c>
      <c r="J49" s="4">
        <f t="shared" si="3"/>
        <v>24000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0.25</v>
      </c>
      <c r="D51" s="3">
        <v>2</v>
      </c>
      <c r="E51" s="3">
        <f t="shared" si="0"/>
        <v>2.25</v>
      </c>
      <c r="F51" s="4">
        <v>12000</v>
      </c>
      <c r="G51" s="4">
        <f>F51*E51</f>
        <v>27000</v>
      </c>
      <c r="H51" s="3">
        <v>1</v>
      </c>
      <c r="I51" s="4">
        <f t="shared" si="2"/>
        <v>12000</v>
      </c>
      <c r="J51" s="4">
        <f t="shared" si="3"/>
        <v>12000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0.5</v>
      </c>
      <c r="D59" s="3"/>
      <c r="E59" s="3">
        <f t="shared" si="0"/>
        <v>0.5</v>
      </c>
      <c r="F59" s="4">
        <v>20000</v>
      </c>
      <c r="G59" s="4">
        <f t="shared" si="1"/>
        <v>10000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37</v>
      </c>
      <c r="D61" s="3"/>
      <c r="E61" s="3">
        <f t="shared" si="0"/>
        <v>37</v>
      </c>
      <c r="F61" s="4">
        <v>5700</v>
      </c>
      <c r="G61" s="4">
        <f t="shared" si="1"/>
        <v>210900</v>
      </c>
      <c r="H61" s="3">
        <v>8</v>
      </c>
      <c r="I61" s="4">
        <f t="shared" si="2"/>
        <v>5700</v>
      </c>
      <c r="J61" s="4">
        <f t="shared" si="3"/>
        <v>45600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11</v>
      </c>
      <c r="D64" s="3"/>
      <c r="E64" s="3">
        <f t="shared" si="0"/>
        <v>11</v>
      </c>
      <c r="F64" s="4">
        <v>4875</v>
      </c>
      <c r="G64" s="4">
        <f t="shared" si="1"/>
        <v>53625</v>
      </c>
      <c r="H64" s="3">
        <v>10</v>
      </c>
      <c r="I64" s="4">
        <f t="shared" si="2"/>
        <v>4875</v>
      </c>
      <c r="J64" s="4">
        <f t="shared" si="3"/>
        <v>48750</v>
      </c>
    </row>
    <row r="65" spans="1:10" x14ac:dyDescent="0.25">
      <c r="A65" s="3">
        <v>63</v>
      </c>
      <c r="B65" t="s">
        <v>70</v>
      </c>
      <c r="C65" s="3">
        <v>7</v>
      </c>
      <c r="D65" s="3"/>
      <c r="E65" s="3">
        <f t="shared" si="0"/>
        <v>7</v>
      </c>
      <c r="F65" s="4">
        <v>21000</v>
      </c>
      <c r="G65" s="4">
        <f t="shared" si="1"/>
        <v>147000</v>
      </c>
      <c r="H65" s="3">
        <v>4</v>
      </c>
      <c r="I65" s="4">
        <f t="shared" si="2"/>
        <v>21000</v>
      </c>
      <c r="J65" s="4">
        <f t="shared" si="3"/>
        <v>84000</v>
      </c>
    </row>
    <row r="66" spans="1:10" x14ac:dyDescent="0.25">
      <c r="A66" s="3">
        <v>64</v>
      </c>
      <c r="B66" t="s">
        <v>115</v>
      </c>
      <c r="C66" s="3"/>
      <c r="D66" s="3"/>
      <c r="E66" s="3">
        <f t="shared" si="0"/>
        <v>0</v>
      </c>
      <c r="F66" s="4">
        <v>100000</v>
      </c>
      <c r="G66" s="4">
        <f t="shared" si="1"/>
        <v>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/>
      <c r="D67" s="3">
        <v>2</v>
      </c>
      <c r="E67" s="3">
        <f t="shared" ref="E67:E83" si="4">C67+D67</f>
        <v>2</v>
      </c>
      <c r="F67" s="4">
        <v>17500</v>
      </c>
      <c r="G67" s="4">
        <f t="shared" si="1"/>
        <v>35000</v>
      </c>
      <c r="H67" s="3">
        <v>2</v>
      </c>
      <c r="I67" s="4">
        <f t="shared" si="2"/>
        <v>17500</v>
      </c>
      <c r="J67" s="4">
        <f t="shared" si="3"/>
        <v>35000</v>
      </c>
    </row>
    <row r="68" spans="1:10" x14ac:dyDescent="0.25">
      <c r="A68" s="3">
        <v>66</v>
      </c>
      <c r="B68" t="s">
        <v>72</v>
      </c>
      <c r="C68" s="3"/>
      <c r="D68" s="3">
        <v>4</v>
      </c>
      <c r="E68" s="3">
        <f t="shared" si="4"/>
        <v>4</v>
      </c>
      <c r="F68" s="4">
        <v>8000</v>
      </c>
      <c r="G68" s="4">
        <f t="shared" si="1"/>
        <v>32000</v>
      </c>
      <c r="H68" s="3">
        <v>3</v>
      </c>
      <c r="I68" s="4">
        <f t="shared" si="2"/>
        <v>8000</v>
      </c>
      <c r="J68" s="4">
        <f t="shared" si="3"/>
        <v>24000</v>
      </c>
    </row>
    <row r="69" spans="1:10" x14ac:dyDescent="0.25">
      <c r="A69" s="3">
        <v>67</v>
      </c>
      <c r="B69" t="s">
        <v>73</v>
      </c>
      <c r="C69" s="3">
        <v>0.7</v>
      </c>
      <c r="D69" s="3">
        <v>2</v>
      </c>
      <c r="E69" s="3">
        <f t="shared" si="4"/>
        <v>2.7</v>
      </c>
      <c r="F69" s="4"/>
      <c r="G69" s="4">
        <f t="shared" si="1"/>
        <v>0</v>
      </c>
      <c r="H69" s="3">
        <v>2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/>
      <c r="D70" s="3">
        <v>1</v>
      </c>
      <c r="E70" s="3">
        <f t="shared" si="4"/>
        <v>1</v>
      </c>
      <c r="F70" s="4">
        <v>24000</v>
      </c>
      <c r="G70" s="4">
        <f t="shared" si="1"/>
        <v>24000</v>
      </c>
      <c r="H70" s="3">
        <v>1</v>
      </c>
      <c r="I70" s="4">
        <f t="shared" si="2"/>
        <v>24000</v>
      </c>
      <c r="J70" s="4">
        <f t="shared" si="5"/>
        <v>24000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>
        <v>2</v>
      </c>
      <c r="E72" s="3">
        <f t="shared" si="4"/>
        <v>3</v>
      </c>
      <c r="F72" s="4">
        <v>15000</v>
      </c>
      <c r="G72" s="4">
        <f>F72*E72</f>
        <v>45000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22</v>
      </c>
      <c r="D74" s="3"/>
      <c r="E74" s="3">
        <f t="shared" si="4"/>
        <v>22</v>
      </c>
      <c r="F74" s="4"/>
      <c r="G74" s="4">
        <f t="shared" ref="G74:G83" si="6">F74*E74</f>
        <v>0</v>
      </c>
      <c r="H74" s="3">
        <v>21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21</v>
      </c>
      <c r="D75" s="3"/>
      <c r="E75" s="3">
        <f t="shared" si="4"/>
        <v>21</v>
      </c>
      <c r="F75" s="4"/>
      <c r="G75" s="4">
        <f t="shared" si="6"/>
        <v>0</v>
      </c>
      <c r="H75" s="3">
        <v>21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8</v>
      </c>
      <c r="D76" s="3"/>
      <c r="E76" s="3">
        <f t="shared" si="4"/>
        <v>8</v>
      </c>
      <c r="F76" s="4">
        <v>4875</v>
      </c>
      <c r="G76" s="4">
        <f t="shared" si="6"/>
        <v>39000</v>
      </c>
      <c r="H76" s="3">
        <v>5</v>
      </c>
      <c r="I76" s="4">
        <f t="shared" si="7"/>
        <v>4875</v>
      </c>
      <c r="J76" s="4">
        <f t="shared" si="5"/>
        <v>24375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1861205</v>
      </c>
      <c r="H85" s="5"/>
      <c r="I85" s="5"/>
      <c r="J85" s="5">
        <f>SUM(J3:J84)</f>
        <v>916125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/>
      <c r="D89" s="3"/>
      <c r="E89" s="3">
        <f>C89+D89</f>
        <v>0</v>
      </c>
      <c r="F89" s="4">
        <v>1240</v>
      </c>
      <c r="G89" s="4">
        <f>F89*E89</f>
        <v>0</v>
      </c>
      <c r="H89" s="3"/>
      <c r="I89" s="4">
        <f>F89</f>
        <v>1240</v>
      </c>
      <c r="J89" s="4">
        <f>I89*H89</f>
        <v>0</v>
      </c>
    </row>
    <row r="90" spans="1:10" x14ac:dyDescent="0.25">
      <c r="A90" s="3">
        <v>2</v>
      </c>
      <c r="B90" t="s">
        <v>85</v>
      </c>
      <c r="C90" s="3">
        <v>26</v>
      </c>
      <c r="D90" s="3">
        <v>11</v>
      </c>
      <c r="E90" s="3">
        <f>C90+D90</f>
        <v>37</v>
      </c>
      <c r="F90" s="4">
        <v>1000</v>
      </c>
      <c r="G90" s="4">
        <f t="shared" ref="G90:G120" si="8">F90*E90</f>
        <v>37000</v>
      </c>
      <c r="H90" s="3">
        <v>34</v>
      </c>
      <c r="I90" s="4">
        <f t="shared" ref="I90:I120" si="9">F90</f>
        <v>1000</v>
      </c>
      <c r="J90" s="4">
        <f t="shared" ref="J90:J120" si="10">I90*H90</f>
        <v>34000</v>
      </c>
    </row>
    <row r="91" spans="1:10" x14ac:dyDescent="0.25">
      <c r="A91" s="3">
        <v>3</v>
      </c>
      <c r="B91" t="s">
        <v>86</v>
      </c>
      <c r="C91" s="3">
        <v>12</v>
      </c>
      <c r="D91" s="3">
        <v>10</v>
      </c>
      <c r="E91" s="3">
        <f t="shared" ref="E91:E120" si="11">C91+D91</f>
        <v>22</v>
      </c>
      <c r="F91" s="4">
        <v>1650</v>
      </c>
      <c r="G91" s="4">
        <f t="shared" si="8"/>
        <v>36300</v>
      </c>
      <c r="H91" s="3">
        <v>17</v>
      </c>
      <c r="I91" s="4">
        <f t="shared" si="9"/>
        <v>1650</v>
      </c>
      <c r="J91" s="4">
        <f t="shared" si="10"/>
        <v>28050</v>
      </c>
    </row>
    <row r="92" spans="1:10" x14ac:dyDescent="0.25">
      <c r="A92" s="3">
        <v>4</v>
      </c>
      <c r="B92" t="s">
        <v>87</v>
      </c>
      <c r="C92" s="3">
        <v>8</v>
      </c>
      <c r="D92" s="3">
        <v>10</v>
      </c>
      <c r="E92" s="3">
        <f t="shared" si="11"/>
        <v>18</v>
      </c>
      <c r="F92" s="4">
        <v>1650</v>
      </c>
      <c r="G92" s="4">
        <f t="shared" si="8"/>
        <v>29700</v>
      </c>
      <c r="H92" s="3">
        <v>11</v>
      </c>
      <c r="I92" s="4">
        <f t="shared" si="9"/>
        <v>1650</v>
      </c>
      <c r="J92" s="4">
        <f t="shared" si="10"/>
        <v>18150</v>
      </c>
    </row>
    <row r="93" spans="1:10" x14ac:dyDescent="0.25">
      <c r="A93" s="3">
        <v>5</v>
      </c>
      <c r="B93" t="s">
        <v>88</v>
      </c>
      <c r="C93" s="3">
        <v>6</v>
      </c>
      <c r="D93" s="3"/>
      <c r="E93" s="3">
        <f t="shared" si="11"/>
        <v>6</v>
      </c>
      <c r="F93" s="4">
        <v>1750</v>
      </c>
      <c r="G93" s="4">
        <f t="shared" si="8"/>
        <v>10500</v>
      </c>
      <c r="H93" s="3">
        <v>1</v>
      </c>
      <c r="I93" s="4">
        <f t="shared" si="9"/>
        <v>1750</v>
      </c>
      <c r="J93" s="4">
        <f t="shared" si="10"/>
        <v>1750</v>
      </c>
    </row>
    <row r="94" spans="1:10" x14ac:dyDescent="0.25">
      <c r="A94" s="3">
        <v>6</v>
      </c>
      <c r="B94" t="s">
        <v>89</v>
      </c>
      <c r="C94" s="3">
        <v>11</v>
      </c>
      <c r="D94" s="3">
        <v>12</v>
      </c>
      <c r="E94" s="3">
        <f t="shared" si="11"/>
        <v>23</v>
      </c>
      <c r="F94" s="4">
        <v>1500</v>
      </c>
      <c r="G94" s="4">
        <f t="shared" si="8"/>
        <v>34500</v>
      </c>
      <c r="H94" s="3">
        <v>15</v>
      </c>
      <c r="I94" s="4">
        <f t="shared" si="9"/>
        <v>1500</v>
      </c>
      <c r="J94" s="4">
        <f t="shared" si="10"/>
        <v>22500</v>
      </c>
    </row>
    <row r="95" spans="1:10" x14ac:dyDescent="0.25">
      <c r="A95" s="3">
        <v>7</v>
      </c>
      <c r="B95" t="s">
        <v>90</v>
      </c>
      <c r="C95" s="3">
        <v>3</v>
      </c>
      <c r="D95" s="3">
        <v>6</v>
      </c>
      <c r="E95" s="3">
        <f t="shared" si="11"/>
        <v>9</v>
      </c>
      <c r="F95" s="4">
        <v>1500</v>
      </c>
      <c r="G95" s="4">
        <f t="shared" si="8"/>
        <v>13500</v>
      </c>
      <c r="H95" s="3">
        <v>6</v>
      </c>
      <c r="I95" s="4">
        <f t="shared" si="9"/>
        <v>1500</v>
      </c>
      <c r="J95" s="4">
        <f t="shared" si="10"/>
        <v>9000</v>
      </c>
    </row>
    <row r="96" spans="1:10" x14ac:dyDescent="0.25">
      <c r="A96" s="3">
        <v>8</v>
      </c>
      <c r="B96" t="s">
        <v>91</v>
      </c>
      <c r="C96" s="3">
        <v>16</v>
      </c>
      <c r="D96" s="3"/>
      <c r="E96" s="3">
        <f t="shared" si="11"/>
        <v>16</v>
      </c>
      <c r="F96" s="4">
        <v>3350</v>
      </c>
      <c r="G96" s="4">
        <f t="shared" si="8"/>
        <v>53600</v>
      </c>
      <c r="H96" s="3">
        <v>12</v>
      </c>
      <c r="I96" s="4">
        <f t="shared" si="9"/>
        <v>3350</v>
      </c>
      <c r="J96" s="4">
        <f t="shared" si="10"/>
        <v>40200</v>
      </c>
    </row>
    <row r="97" spans="1:10" x14ac:dyDescent="0.25">
      <c r="A97" s="3">
        <v>9</v>
      </c>
      <c r="B97" t="s">
        <v>92</v>
      </c>
      <c r="C97" s="3">
        <v>2</v>
      </c>
      <c r="D97" s="3"/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12</v>
      </c>
      <c r="D98" s="3"/>
      <c r="E98" s="3">
        <f t="shared" si="11"/>
        <v>12</v>
      </c>
      <c r="F98" s="4">
        <v>9000</v>
      </c>
      <c r="G98" s="4">
        <f t="shared" si="8"/>
        <v>108000</v>
      </c>
      <c r="H98" s="3">
        <v>10</v>
      </c>
      <c r="I98" s="4">
        <f t="shared" si="9"/>
        <v>9000</v>
      </c>
      <c r="J98" s="4">
        <f t="shared" si="10"/>
        <v>90000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1</v>
      </c>
      <c r="D100" s="3">
        <v>7</v>
      </c>
      <c r="E100" s="3">
        <f t="shared" si="11"/>
        <v>8</v>
      </c>
      <c r="F100" s="4">
        <v>8000</v>
      </c>
      <c r="G100" s="4">
        <f t="shared" si="8"/>
        <v>64000</v>
      </c>
      <c r="H100" s="3">
        <v>3</v>
      </c>
      <c r="I100" s="4">
        <f t="shared" si="9"/>
        <v>8000</v>
      </c>
      <c r="J100" s="4">
        <f t="shared" si="10"/>
        <v>24000</v>
      </c>
    </row>
    <row r="101" spans="1:10" x14ac:dyDescent="0.25">
      <c r="A101" s="3">
        <v>13</v>
      </c>
      <c r="B101" t="s">
        <v>96</v>
      </c>
      <c r="C101" s="3">
        <v>4</v>
      </c>
      <c r="D101" s="3"/>
      <c r="E101" s="3">
        <f t="shared" si="11"/>
        <v>4</v>
      </c>
      <c r="F101" s="4">
        <v>3300</v>
      </c>
      <c r="G101" s="4">
        <f t="shared" si="8"/>
        <v>13200</v>
      </c>
      <c r="H101" s="3">
        <v>3</v>
      </c>
      <c r="I101" s="4">
        <f t="shared" si="9"/>
        <v>3300</v>
      </c>
      <c r="J101" s="4">
        <f t="shared" si="10"/>
        <v>9900</v>
      </c>
    </row>
    <row r="102" spans="1:10" x14ac:dyDescent="0.25">
      <c r="A102" s="3">
        <v>14</v>
      </c>
      <c r="B102" t="s">
        <v>97</v>
      </c>
      <c r="C102" s="3"/>
      <c r="D102" s="3">
        <v>55</v>
      </c>
      <c r="E102" s="3">
        <f t="shared" si="11"/>
        <v>55</v>
      </c>
      <c r="F102" s="4"/>
      <c r="G102" s="4">
        <f t="shared" si="8"/>
        <v>0</v>
      </c>
      <c r="H102" s="3">
        <v>53</v>
      </c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>
        <v>1</v>
      </c>
      <c r="E108" s="3">
        <f t="shared" si="11"/>
        <v>1</v>
      </c>
      <c r="F108" s="4">
        <v>6000</v>
      </c>
      <c r="G108" s="4">
        <f t="shared" si="8"/>
        <v>6000</v>
      </c>
      <c r="H108" s="3">
        <v>0.5</v>
      </c>
      <c r="I108" s="4">
        <f t="shared" si="9"/>
        <v>6000</v>
      </c>
      <c r="J108" s="4">
        <f>I108*H108</f>
        <v>3000</v>
      </c>
    </row>
    <row r="109" spans="1:10" x14ac:dyDescent="0.25">
      <c r="A109" s="3">
        <v>21</v>
      </c>
      <c r="B109" t="s">
        <v>104</v>
      </c>
      <c r="C109" s="3">
        <v>1</v>
      </c>
      <c r="D109" s="3"/>
      <c r="E109" s="3">
        <f t="shared" si="11"/>
        <v>1</v>
      </c>
      <c r="F109" s="4">
        <v>8000</v>
      </c>
      <c r="G109" s="4">
        <f t="shared" si="8"/>
        <v>8000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2</v>
      </c>
      <c r="D111" s="3">
        <v>9</v>
      </c>
      <c r="E111" s="3">
        <f t="shared" si="11"/>
        <v>11</v>
      </c>
      <c r="F111" s="4">
        <v>4000</v>
      </c>
      <c r="G111" s="4">
        <f t="shared" si="8"/>
        <v>44000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660300</v>
      </c>
      <c r="H121" s="5"/>
      <c r="I121" s="5"/>
      <c r="J121" s="5">
        <f>SUM(J89:J120)</f>
        <v>373550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1289675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AF1B-AB0D-4EED-AF54-EB82DAFBEA68}">
  <dimension ref="A1:M268"/>
  <sheetViews>
    <sheetView workbookViewId="0">
      <selection activeCell="H15" sqref="H15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0.25</v>
      </c>
      <c r="D3" s="3">
        <v>0.25</v>
      </c>
      <c r="E3" s="3">
        <f t="shared" ref="E3:E66" si="0">C3+D3</f>
        <v>0.5</v>
      </c>
      <c r="F3" s="4">
        <v>36000</v>
      </c>
      <c r="G3" s="4">
        <f>F3*E3</f>
        <v>18000</v>
      </c>
      <c r="H3" s="3">
        <v>0.25</v>
      </c>
      <c r="I3" s="4">
        <f>F3</f>
        <v>36000</v>
      </c>
      <c r="J3" s="4">
        <f>I3*H3</f>
        <v>9000</v>
      </c>
    </row>
    <row r="4" spans="1:13" x14ac:dyDescent="0.25">
      <c r="A4" s="3">
        <v>2</v>
      </c>
      <c r="B4" t="s">
        <v>10</v>
      </c>
      <c r="C4" s="3"/>
      <c r="D4" s="3"/>
      <c r="E4" s="3">
        <f t="shared" si="0"/>
        <v>0</v>
      </c>
      <c r="F4" s="4">
        <v>36000</v>
      </c>
      <c r="G4" s="4">
        <f t="shared" ref="G4:G73" si="1">F4*E4</f>
        <v>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>
        <v>0.17</v>
      </c>
      <c r="D6" s="3">
        <v>0.25</v>
      </c>
      <c r="E6" s="3">
        <f t="shared" si="0"/>
        <v>0.42000000000000004</v>
      </c>
      <c r="F6" s="4">
        <v>60000</v>
      </c>
      <c r="G6" s="4">
        <f t="shared" si="1"/>
        <v>25200.000000000004</v>
      </c>
      <c r="H6" s="3">
        <v>0.25</v>
      </c>
      <c r="I6" s="4">
        <f t="shared" si="2"/>
        <v>60000</v>
      </c>
      <c r="J6" s="4">
        <f t="shared" si="3"/>
        <v>15000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0.25</v>
      </c>
      <c r="E8" s="3">
        <f t="shared" si="0"/>
        <v>0.25</v>
      </c>
      <c r="F8" s="4">
        <v>50000</v>
      </c>
      <c r="G8" s="4">
        <f t="shared" si="1"/>
        <v>12500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>
        <v>1</v>
      </c>
      <c r="D9" s="3"/>
      <c r="E9" s="3">
        <f t="shared" si="0"/>
        <v>1</v>
      </c>
      <c r="F9" s="4">
        <v>13000</v>
      </c>
      <c r="G9" s="4">
        <f t="shared" si="1"/>
        <v>13000</v>
      </c>
      <c r="H9" s="3">
        <v>0.22</v>
      </c>
      <c r="I9" s="4">
        <f t="shared" si="2"/>
        <v>13000</v>
      </c>
      <c r="J9" s="4">
        <f t="shared" si="3"/>
        <v>2860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0.5</v>
      </c>
      <c r="D19" s="3">
        <v>0.5</v>
      </c>
      <c r="E19" s="3">
        <f t="shared" si="0"/>
        <v>1</v>
      </c>
      <c r="F19" s="4">
        <v>20000</v>
      </c>
      <c r="G19" s="4">
        <f t="shared" si="1"/>
        <v>20000</v>
      </c>
      <c r="H19" s="3">
        <v>0.5</v>
      </c>
      <c r="I19" s="4">
        <f t="shared" si="2"/>
        <v>20000</v>
      </c>
      <c r="J19" s="4">
        <f t="shared" si="3"/>
        <v>10000</v>
      </c>
    </row>
    <row r="20" spans="1:10" x14ac:dyDescent="0.25">
      <c r="A20" s="3">
        <v>18</v>
      </c>
      <c r="B20" t="s">
        <v>25</v>
      </c>
      <c r="C20" s="3">
        <v>1.6</v>
      </c>
      <c r="D20" s="3">
        <v>1</v>
      </c>
      <c r="E20" s="3">
        <f t="shared" si="0"/>
        <v>2.6</v>
      </c>
      <c r="F20" s="4">
        <v>11000</v>
      </c>
      <c r="G20" s="4">
        <f t="shared" si="1"/>
        <v>28600</v>
      </c>
      <c r="H20" s="3">
        <v>2.4</v>
      </c>
      <c r="I20" s="4">
        <f t="shared" si="2"/>
        <v>11000</v>
      </c>
      <c r="J20" s="4">
        <f t="shared" si="3"/>
        <v>26400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0.14000000000000001</v>
      </c>
      <c r="D22" s="3"/>
      <c r="E22" s="3">
        <f t="shared" si="0"/>
        <v>0.14000000000000001</v>
      </c>
      <c r="F22" s="4">
        <v>15000</v>
      </c>
      <c r="G22" s="4">
        <f t="shared" si="1"/>
        <v>2100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1.2</v>
      </c>
      <c r="D23" s="3">
        <v>2</v>
      </c>
      <c r="E23" s="3">
        <f t="shared" si="0"/>
        <v>3.2</v>
      </c>
      <c r="F23" s="4">
        <v>8000</v>
      </c>
      <c r="G23" s="4">
        <f>F23*E23</f>
        <v>25600</v>
      </c>
      <c r="H23" s="3">
        <v>1.1000000000000001</v>
      </c>
      <c r="I23" s="4">
        <f t="shared" si="2"/>
        <v>8000</v>
      </c>
      <c r="J23" s="4">
        <f t="shared" si="3"/>
        <v>8800</v>
      </c>
    </row>
    <row r="24" spans="1:10" x14ac:dyDescent="0.25">
      <c r="A24" s="3">
        <v>22</v>
      </c>
      <c r="B24" t="s">
        <v>29</v>
      </c>
      <c r="C24" s="3"/>
      <c r="D24" s="3">
        <v>0.5</v>
      </c>
      <c r="E24" s="3">
        <f t="shared" si="0"/>
        <v>0.5</v>
      </c>
      <c r="F24" s="4">
        <v>8000</v>
      </c>
      <c r="G24" s="4">
        <f t="shared" si="1"/>
        <v>4000</v>
      </c>
      <c r="H24" s="3">
        <v>0.25</v>
      </c>
      <c r="I24" s="4">
        <f t="shared" si="2"/>
        <v>8000</v>
      </c>
      <c r="J24" s="4">
        <f t="shared" si="3"/>
        <v>2000</v>
      </c>
    </row>
    <row r="25" spans="1:10" x14ac:dyDescent="0.25">
      <c r="A25" s="3">
        <v>23</v>
      </c>
      <c r="B25" t="s">
        <v>30</v>
      </c>
      <c r="C25" s="3">
        <v>2</v>
      </c>
      <c r="D25" s="3"/>
      <c r="E25" s="3">
        <f t="shared" si="0"/>
        <v>2</v>
      </c>
      <c r="F25" s="4">
        <v>3000</v>
      </c>
      <c r="G25" s="4">
        <f t="shared" si="1"/>
        <v>6000</v>
      </c>
      <c r="H25" s="3">
        <v>1</v>
      </c>
      <c r="I25" s="4">
        <f t="shared" si="2"/>
        <v>3000</v>
      </c>
      <c r="J25" s="4">
        <f t="shared" si="3"/>
        <v>3000</v>
      </c>
    </row>
    <row r="26" spans="1:10" x14ac:dyDescent="0.25">
      <c r="A26" s="3">
        <v>24</v>
      </c>
      <c r="B26" t="s">
        <v>31</v>
      </c>
      <c r="C26" s="3"/>
      <c r="D26" s="3">
        <v>1</v>
      </c>
      <c r="E26" s="3">
        <f t="shared" si="0"/>
        <v>1</v>
      </c>
      <c r="F26" s="4">
        <v>11500</v>
      </c>
      <c r="G26" s="4">
        <f t="shared" si="1"/>
        <v>11500</v>
      </c>
      <c r="H26" s="3">
        <v>0.25</v>
      </c>
      <c r="I26" s="4">
        <f t="shared" si="2"/>
        <v>11500</v>
      </c>
      <c r="J26" s="4">
        <f t="shared" si="3"/>
        <v>2875</v>
      </c>
    </row>
    <row r="27" spans="1:10" x14ac:dyDescent="0.25">
      <c r="A27" s="3">
        <v>25</v>
      </c>
      <c r="B27" t="s">
        <v>32</v>
      </c>
      <c r="C27" s="3"/>
      <c r="D27" s="3">
        <v>0.5</v>
      </c>
      <c r="E27" s="3">
        <f t="shared" si="0"/>
        <v>0.5</v>
      </c>
      <c r="F27" s="4">
        <v>8500</v>
      </c>
      <c r="G27" s="4">
        <f t="shared" si="1"/>
        <v>4250</v>
      </c>
      <c r="H27" s="3">
        <v>0.34</v>
      </c>
      <c r="I27" s="4">
        <f t="shared" si="2"/>
        <v>8500</v>
      </c>
      <c r="J27" s="4">
        <f t="shared" si="3"/>
        <v>2890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0.1</v>
      </c>
      <c r="D29" s="3">
        <v>0.25</v>
      </c>
      <c r="E29" s="3">
        <f t="shared" si="0"/>
        <v>0.35</v>
      </c>
      <c r="F29" s="4">
        <v>24000</v>
      </c>
      <c r="G29" s="4">
        <f t="shared" si="1"/>
        <v>8400</v>
      </c>
      <c r="H29" s="3">
        <v>0.25</v>
      </c>
      <c r="I29" s="4">
        <f t="shared" si="2"/>
        <v>24000</v>
      </c>
      <c r="J29" s="4">
        <f t="shared" si="3"/>
        <v>6000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2</v>
      </c>
      <c r="D34" s="3"/>
      <c r="E34" s="3">
        <f t="shared" si="0"/>
        <v>2</v>
      </c>
      <c r="F34" s="4">
        <v>17500</v>
      </c>
      <c r="G34" s="4">
        <f t="shared" si="1"/>
        <v>35000</v>
      </c>
      <c r="H34" s="3"/>
      <c r="I34" s="4">
        <f t="shared" si="2"/>
        <v>17500</v>
      </c>
      <c r="J34" s="4">
        <f t="shared" si="3"/>
        <v>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/>
      <c r="E41" s="3">
        <f t="shared" si="0"/>
        <v>2</v>
      </c>
      <c r="F41" s="4">
        <v>83000</v>
      </c>
      <c r="G41" s="4">
        <f t="shared" si="1"/>
        <v>166000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1</v>
      </c>
      <c r="D42" s="3">
        <v>4</v>
      </c>
      <c r="E42" s="3">
        <f t="shared" si="0"/>
        <v>5</v>
      </c>
      <c r="F42" s="4">
        <v>21000</v>
      </c>
      <c r="G42" s="4">
        <f t="shared" si="1"/>
        <v>105000</v>
      </c>
      <c r="H42" s="3">
        <v>3</v>
      </c>
      <c r="I42" s="4">
        <f t="shared" si="2"/>
        <v>21000</v>
      </c>
      <c r="J42" s="4">
        <f t="shared" si="3"/>
        <v>63000</v>
      </c>
    </row>
    <row r="43" spans="1:10" x14ac:dyDescent="0.25">
      <c r="A43" s="3">
        <v>41</v>
      </c>
      <c r="B43" t="s">
        <v>48</v>
      </c>
      <c r="C43" s="3">
        <v>10.5</v>
      </c>
      <c r="D43" s="3"/>
      <c r="E43" s="3">
        <f t="shared" si="0"/>
        <v>10.5</v>
      </c>
      <c r="F43" s="4">
        <v>25000</v>
      </c>
      <c r="G43" s="4">
        <f t="shared" si="1"/>
        <v>262500</v>
      </c>
      <c r="H43" s="3">
        <v>8</v>
      </c>
      <c r="I43" s="4">
        <f t="shared" si="2"/>
        <v>25000</v>
      </c>
      <c r="J43" s="4">
        <f t="shared" si="3"/>
        <v>200000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/>
      <c r="D45" s="3"/>
      <c r="E45" s="3">
        <f t="shared" si="0"/>
        <v>0</v>
      </c>
      <c r="F45" s="4">
        <v>15500</v>
      </c>
      <c r="G45" s="4">
        <f t="shared" si="1"/>
        <v>0</v>
      </c>
      <c r="H45" s="3"/>
      <c r="I45" s="4">
        <f t="shared" si="2"/>
        <v>15500</v>
      </c>
      <c r="J45" s="4">
        <f t="shared" si="3"/>
        <v>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>
        <v>1</v>
      </c>
      <c r="D48" s="3"/>
      <c r="E48" s="3">
        <f t="shared" si="0"/>
        <v>1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4</v>
      </c>
      <c r="D49" s="3">
        <v>5</v>
      </c>
      <c r="E49" s="3">
        <f t="shared" si="0"/>
        <v>9</v>
      </c>
      <c r="F49" s="4">
        <v>6000</v>
      </c>
      <c r="G49" s="4">
        <f t="shared" si="1"/>
        <v>54000</v>
      </c>
      <c r="H49" s="3">
        <v>6</v>
      </c>
      <c r="I49" s="4">
        <f t="shared" si="2"/>
        <v>6000</v>
      </c>
      <c r="J49" s="4">
        <f t="shared" si="3"/>
        <v>36000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</v>
      </c>
      <c r="D51" s="3">
        <v>2</v>
      </c>
      <c r="E51" s="3">
        <f t="shared" si="0"/>
        <v>3</v>
      </c>
      <c r="F51" s="4">
        <v>12000</v>
      </c>
      <c r="G51" s="4">
        <f>F51*E51</f>
        <v>36000</v>
      </c>
      <c r="H51" s="3">
        <v>1</v>
      </c>
      <c r="I51" s="4">
        <f t="shared" si="2"/>
        <v>12000</v>
      </c>
      <c r="J51" s="4">
        <f t="shared" si="3"/>
        <v>12000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8</v>
      </c>
      <c r="D61" s="3">
        <v>19</v>
      </c>
      <c r="E61" s="3">
        <f t="shared" si="0"/>
        <v>27</v>
      </c>
      <c r="F61" s="4">
        <v>5700</v>
      </c>
      <c r="G61" s="4">
        <f t="shared" si="1"/>
        <v>153900</v>
      </c>
      <c r="H61" s="3">
        <v>21</v>
      </c>
      <c r="I61" s="4">
        <f t="shared" si="2"/>
        <v>5700</v>
      </c>
      <c r="J61" s="4">
        <f t="shared" si="3"/>
        <v>119700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10</v>
      </c>
      <c r="D64" s="3"/>
      <c r="E64" s="3">
        <f t="shared" si="0"/>
        <v>10</v>
      </c>
      <c r="F64" s="4">
        <v>4875</v>
      </c>
      <c r="G64" s="4">
        <f t="shared" si="1"/>
        <v>48750</v>
      </c>
      <c r="H64" s="3">
        <v>6</v>
      </c>
      <c r="I64" s="4">
        <f t="shared" si="2"/>
        <v>4875</v>
      </c>
      <c r="J64" s="4">
        <f t="shared" si="3"/>
        <v>29250</v>
      </c>
    </row>
    <row r="65" spans="1:10" x14ac:dyDescent="0.25">
      <c r="A65" s="3">
        <v>63</v>
      </c>
      <c r="B65" t="s">
        <v>70</v>
      </c>
      <c r="C65" s="3">
        <v>4</v>
      </c>
      <c r="D65" s="3"/>
      <c r="E65" s="3">
        <f t="shared" si="0"/>
        <v>4</v>
      </c>
      <c r="F65" s="4">
        <v>21000</v>
      </c>
      <c r="G65" s="4">
        <f t="shared" si="1"/>
        <v>84000</v>
      </c>
      <c r="H65" s="3">
        <v>0.25</v>
      </c>
      <c r="I65" s="4">
        <f t="shared" si="2"/>
        <v>21000</v>
      </c>
      <c r="J65" s="4">
        <f t="shared" si="3"/>
        <v>5250</v>
      </c>
    </row>
    <row r="66" spans="1:10" x14ac:dyDescent="0.25">
      <c r="A66" s="3">
        <v>64</v>
      </c>
      <c r="B66" t="s">
        <v>115</v>
      </c>
      <c r="C66" s="3"/>
      <c r="D66" s="3">
        <v>1</v>
      </c>
      <c r="E66" s="3">
        <f t="shared" si="0"/>
        <v>1</v>
      </c>
      <c r="F66" s="4">
        <v>100000</v>
      </c>
      <c r="G66" s="4">
        <f t="shared" si="1"/>
        <v>100000</v>
      </c>
      <c r="H66" s="3">
        <v>0.75</v>
      </c>
      <c r="I66" s="4">
        <f t="shared" si="2"/>
        <v>100000</v>
      </c>
      <c r="J66" s="4">
        <f t="shared" si="3"/>
        <v>75000</v>
      </c>
    </row>
    <row r="67" spans="1:10" x14ac:dyDescent="0.25">
      <c r="A67" s="3">
        <v>65</v>
      </c>
      <c r="B67" t="s">
        <v>71</v>
      </c>
      <c r="C67" s="3">
        <v>2</v>
      </c>
      <c r="D67" s="3"/>
      <c r="E67" s="3">
        <f t="shared" ref="E67:E83" si="4">C67+D67</f>
        <v>2</v>
      </c>
      <c r="F67" s="4">
        <v>17500</v>
      </c>
      <c r="G67" s="4">
        <f t="shared" si="1"/>
        <v>35000</v>
      </c>
      <c r="H67" s="3">
        <v>1</v>
      </c>
      <c r="I67" s="4">
        <f t="shared" si="2"/>
        <v>17500</v>
      </c>
      <c r="J67" s="4">
        <f t="shared" si="3"/>
        <v>17500</v>
      </c>
    </row>
    <row r="68" spans="1:10" x14ac:dyDescent="0.25">
      <c r="A68" s="3">
        <v>66</v>
      </c>
      <c r="B68" t="s">
        <v>72</v>
      </c>
      <c r="C68" s="3">
        <v>3</v>
      </c>
      <c r="D68" s="3"/>
      <c r="E68" s="3">
        <f t="shared" si="4"/>
        <v>3</v>
      </c>
      <c r="F68" s="4">
        <v>8000</v>
      </c>
      <c r="G68" s="4">
        <f t="shared" si="1"/>
        <v>24000</v>
      </c>
      <c r="H68" s="3">
        <v>2</v>
      </c>
      <c r="I68" s="4">
        <f t="shared" si="2"/>
        <v>8000</v>
      </c>
      <c r="J68" s="4">
        <f t="shared" si="3"/>
        <v>16000</v>
      </c>
    </row>
    <row r="69" spans="1:10" x14ac:dyDescent="0.25">
      <c r="A69" s="3">
        <v>67</v>
      </c>
      <c r="B69" t="s">
        <v>73</v>
      </c>
      <c r="C69" s="3">
        <v>2</v>
      </c>
      <c r="D69" s="3"/>
      <c r="E69" s="3">
        <f t="shared" si="4"/>
        <v>2</v>
      </c>
      <c r="F69" s="4"/>
      <c r="G69" s="4">
        <f t="shared" si="1"/>
        <v>0</v>
      </c>
      <c r="H69" s="3">
        <v>1.25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1</v>
      </c>
      <c r="D70" s="3"/>
      <c r="E70" s="3">
        <f t="shared" si="4"/>
        <v>1</v>
      </c>
      <c r="F70" s="4">
        <v>24000</v>
      </c>
      <c r="G70" s="4">
        <f t="shared" si="1"/>
        <v>24000</v>
      </c>
      <c r="H70" s="3">
        <v>0.5</v>
      </c>
      <c r="I70" s="4">
        <f t="shared" si="2"/>
        <v>24000</v>
      </c>
      <c r="J70" s="4">
        <f t="shared" si="5"/>
        <v>12000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>
        <v>2</v>
      </c>
      <c r="E72" s="3">
        <f t="shared" si="4"/>
        <v>4</v>
      </c>
      <c r="F72" s="4">
        <v>15000</v>
      </c>
      <c r="G72" s="4">
        <f>F72*E72</f>
        <v>60000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21</v>
      </c>
      <c r="D74" s="3"/>
      <c r="E74" s="3">
        <f t="shared" si="4"/>
        <v>21</v>
      </c>
      <c r="F74" s="4"/>
      <c r="G74" s="4">
        <f t="shared" ref="G74:G83" si="6">F74*E74</f>
        <v>0</v>
      </c>
      <c r="H74" s="3">
        <v>20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21</v>
      </c>
      <c r="D75" s="3"/>
      <c r="E75" s="3">
        <f t="shared" si="4"/>
        <v>21</v>
      </c>
      <c r="F75" s="4"/>
      <c r="G75" s="4">
        <f t="shared" si="6"/>
        <v>0</v>
      </c>
      <c r="H75" s="3">
        <v>17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5</v>
      </c>
      <c r="D76" s="3"/>
      <c r="E76" s="3">
        <f t="shared" si="4"/>
        <v>5</v>
      </c>
      <c r="F76" s="4">
        <v>4875</v>
      </c>
      <c r="G76" s="4">
        <f t="shared" si="6"/>
        <v>24375</v>
      </c>
      <c r="H76" s="3"/>
      <c r="I76" s="4">
        <f t="shared" si="7"/>
        <v>4875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1401675</v>
      </c>
      <c r="H85" s="5"/>
      <c r="I85" s="5"/>
      <c r="J85" s="5">
        <f>SUM(J3:J84)</f>
        <v>787525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/>
      <c r="D89" s="3">
        <v>47</v>
      </c>
      <c r="E89" s="3">
        <f>C89+D89</f>
        <v>47</v>
      </c>
      <c r="F89" s="4">
        <v>1240</v>
      </c>
      <c r="G89" s="4">
        <f>F89*E89</f>
        <v>58280</v>
      </c>
      <c r="H89" s="3">
        <v>45</v>
      </c>
      <c r="I89" s="4">
        <f>F89</f>
        <v>1240</v>
      </c>
      <c r="J89" s="4">
        <f>I89*H89</f>
        <v>55800</v>
      </c>
    </row>
    <row r="90" spans="1:10" x14ac:dyDescent="0.25">
      <c r="A90" s="3">
        <v>2</v>
      </c>
      <c r="B90" t="s">
        <v>85</v>
      </c>
      <c r="C90" s="3">
        <v>34</v>
      </c>
      <c r="D90" s="3"/>
      <c r="E90" s="3">
        <f>C90+D90</f>
        <v>34</v>
      </c>
      <c r="F90" s="4">
        <v>1000</v>
      </c>
      <c r="G90" s="4">
        <f t="shared" ref="G90:G120" si="8">F90*E90</f>
        <v>34000</v>
      </c>
      <c r="H90" s="3">
        <v>28</v>
      </c>
      <c r="I90" s="4">
        <f t="shared" ref="I90:I120" si="9">F90</f>
        <v>1000</v>
      </c>
      <c r="J90" s="4">
        <f t="shared" ref="J90:J120" si="10">I90*H90</f>
        <v>28000</v>
      </c>
    </row>
    <row r="91" spans="1:10" x14ac:dyDescent="0.25">
      <c r="A91" s="3">
        <v>3</v>
      </c>
      <c r="B91" t="s">
        <v>86</v>
      </c>
      <c r="C91" s="3">
        <v>17</v>
      </c>
      <c r="D91" s="3"/>
      <c r="E91" s="3">
        <f t="shared" ref="E91:E120" si="11">C91+D91</f>
        <v>17</v>
      </c>
      <c r="F91" s="4">
        <v>1650</v>
      </c>
      <c r="G91" s="4">
        <f t="shared" si="8"/>
        <v>28050</v>
      </c>
      <c r="H91" s="3">
        <v>6</v>
      </c>
      <c r="I91" s="4">
        <f t="shared" si="9"/>
        <v>1650</v>
      </c>
      <c r="J91" s="4">
        <f t="shared" si="10"/>
        <v>9900</v>
      </c>
    </row>
    <row r="92" spans="1:10" x14ac:dyDescent="0.25">
      <c r="A92" s="3">
        <v>4</v>
      </c>
      <c r="B92" t="s">
        <v>87</v>
      </c>
      <c r="C92" s="3">
        <v>11</v>
      </c>
      <c r="D92" s="3"/>
      <c r="E92" s="3">
        <f t="shared" si="11"/>
        <v>11</v>
      </c>
      <c r="F92" s="4">
        <v>1650</v>
      </c>
      <c r="G92" s="4">
        <f t="shared" si="8"/>
        <v>18150</v>
      </c>
      <c r="H92" s="3">
        <v>7</v>
      </c>
      <c r="I92" s="4">
        <f t="shared" si="9"/>
        <v>1650</v>
      </c>
      <c r="J92" s="4">
        <f t="shared" si="10"/>
        <v>11550</v>
      </c>
    </row>
    <row r="93" spans="1:10" x14ac:dyDescent="0.25">
      <c r="A93" s="3">
        <v>5</v>
      </c>
      <c r="B93" t="s">
        <v>88</v>
      </c>
      <c r="C93" s="3">
        <v>1</v>
      </c>
      <c r="D93" s="3">
        <v>10</v>
      </c>
      <c r="E93" s="3">
        <f t="shared" si="11"/>
        <v>11</v>
      </c>
      <c r="F93" s="4">
        <v>1750</v>
      </c>
      <c r="G93" s="4">
        <f t="shared" si="8"/>
        <v>19250</v>
      </c>
      <c r="H93" s="3">
        <v>10</v>
      </c>
      <c r="I93" s="4">
        <f t="shared" si="9"/>
        <v>1750</v>
      </c>
      <c r="J93" s="4">
        <f t="shared" si="10"/>
        <v>17500</v>
      </c>
    </row>
    <row r="94" spans="1:10" x14ac:dyDescent="0.25">
      <c r="A94" s="3">
        <v>6</v>
      </c>
      <c r="B94" t="s">
        <v>89</v>
      </c>
      <c r="C94" s="3">
        <v>15</v>
      </c>
      <c r="D94" s="3"/>
      <c r="E94" s="3">
        <f t="shared" si="11"/>
        <v>15</v>
      </c>
      <c r="F94" s="4">
        <v>1500</v>
      </c>
      <c r="G94" s="4">
        <f t="shared" si="8"/>
        <v>22500</v>
      </c>
      <c r="H94" s="3">
        <v>9</v>
      </c>
      <c r="I94" s="4">
        <f t="shared" si="9"/>
        <v>1500</v>
      </c>
      <c r="J94" s="4">
        <f t="shared" si="10"/>
        <v>13500</v>
      </c>
    </row>
    <row r="95" spans="1:10" x14ac:dyDescent="0.25">
      <c r="A95" s="3">
        <v>7</v>
      </c>
      <c r="B95" t="s">
        <v>90</v>
      </c>
      <c r="C95" s="3">
        <v>6</v>
      </c>
      <c r="D95" s="3"/>
      <c r="E95" s="3">
        <f t="shared" si="11"/>
        <v>6</v>
      </c>
      <c r="F95" s="4">
        <v>1500</v>
      </c>
      <c r="G95" s="4">
        <f t="shared" si="8"/>
        <v>9000</v>
      </c>
      <c r="H95" s="3">
        <v>6</v>
      </c>
      <c r="I95" s="4">
        <f t="shared" si="9"/>
        <v>1500</v>
      </c>
      <c r="J95" s="4">
        <f t="shared" si="10"/>
        <v>9000</v>
      </c>
    </row>
    <row r="96" spans="1:10" x14ac:dyDescent="0.25">
      <c r="A96" s="3">
        <v>8</v>
      </c>
      <c r="B96" t="s">
        <v>91</v>
      </c>
      <c r="C96" s="3">
        <v>12</v>
      </c>
      <c r="D96" s="3"/>
      <c r="E96" s="3">
        <f t="shared" si="11"/>
        <v>12</v>
      </c>
      <c r="F96" s="4">
        <v>3350</v>
      </c>
      <c r="G96" s="4">
        <f t="shared" si="8"/>
        <v>40200</v>
      </c>
      <c r="H96" s="3">
        <v>11</v>
      </c>
      <c r="I96" s="4">
        <f t="shared" si="9"/>
        <v>3350</v>
      </c>
      <c r="J96" s="4">
        <f t="shared" si="10"/>
        <v>36850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10</v>
      </c>
      <c r="D98" s="3"/>
      <c r="E98" s="3">
        <f t="shared" si="11"/>
        <v>10</v>
      </c>
      <c r="F98" s="4">
        <v>9000</v>
      </c>
      <c r="G98" s="4">
        <f t="shared" si="8"/>
        <v>90000</v>
      </c>
      <c r="H98" s="3">
        <v>8</v>
      </c>
      <c r="I98" s="4">
        <f t="shared" si="9"/>
        <v>9000</v>
      </c>
      <c r="J98" s="4">
        <f t="shared" si="10"/>
        <v>72000</v>
      </c>
    </row>
    <row r="99" spans="1:10" x14ac:dyDescent="0.25">
      <c r="A99" s="3">
        <v>11</v>
      </c>
      <c r="B99" t="s">
        <v>94</v>
      </c>
      <c r="C99" s="3">
        <v>1</v>
      </c>
      <c r="D99" s="3"/>
      <c r="E99" s="3">
        <f t="shared" si="11"/>
        <v>1</v>
      </c>
      <c r="F99" s="4">
        <v>6000</v>
      </c>
      <c r="G99" s="4">
        <f t="shared" si="8"/>
        <v>6000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3</v>
      </c>
      <c r="D100" s="3">
        <v>7</v>
      </c>
      <c r="E100" s="3">
        <f t="shared" si="11"/>
        <v>10</v>
      </c>
      <c r="F100" s="4">
        <v>8000</v>
      </c>
      <c r="G100" s="4">
        <f t="shared" si="8"/>
        <v>80000</v>
      </c>
      <c r="H100" s="3">
        <v>5</v>
      </c>
      <c r="I100" s="4">
        <f t="shared" si="9"/>
        <v>8000</v>
      </c>
      <c r="J100" s="4">
        <f t="shared" si="10"/>
        <v>40000</v>
      </c>
    </row>
    <row r="101" spans="1:10" x14ac:dyDescent="0.25">
      <c r="A101" s="3">
        <v>13</v>
      </c>
      <c r="B101" t="s">
        <v>96</v>
      </c>
      <c r="C101" s="3">
        <v>3</v>
      </c>
      <c r="D101" s="3"/>
      <c r="E101" s="3">
        <f t="shared" si="11"/>
        <v>3</v>
      </c>
      <c r="F101" s="4">
        <v>3300</v>
      </c>
      <c r="G101" s="4">
        <f t="shared" si="8"/>
        <v>9900</v>
      </c>
      <c r="H101" s="3">
        <v>2</v>
      </c>
      <c r="I101" s="4">
        <f t="shared" si="9"/>
        <v>3300</v>
      </c>
      <c r="J101" s="4">
        <f t="shared" si="10"/>
        <v>6600</v>
      </c>
    </row>
    <row r="102" spans="1:10" x14ac:dyDescent="0.25">
      <c r="A102" s="3">
        <v>14</v>
      </c>
      <c r="B102" t="s">
        <v>97</v>
      </c>
      <c r="C102" s="3">
        <v>53</v>
      </c>
      <c r="D102" s="3"/>
      <c r="E102" s="3">
        <f t="shared" si="11"/>
        <v>53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>
        <v>0.5</v>
      </c>
      <c r="D108" s="3"/>
      <c r="E108" s="3">
        <f t="shared" si="11"/>
        <v>0.5</v>
      </c>
      <c r="F108" s="4">
        <v>6000</v>
      </c>
      <c r="G108" s="4">
        <f t="shared" si="8"/>
        <v>3000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>
        <v>1</v>
      </c>
      <c r="D109" s="3"/>
      <c r="E109" s="3">
        <f t="shared" si="11"/>
        <v>1</v>
      </c>
      <c r="F109" s="4">
        <v>8000</v>
      </c>
      <c r="G109" s="4">
        <f t="shared" si="8"/>
        <v>8000</v>
      </c>
      <c r="H109" s="3">
        <v>1</v>
      </c>
      <c r="I109" s="4">
        <f t="shared" si="9"/>
        <v>8000</v>
      </c>
      <c r="J109" s="4">
        <f t="shared" si="10"/>
        <v>8000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5</v>
      </c>
      <c r="E111" s="3">
        <f t="shared" si="11"/>
        <v>9</v>
      </c>
      <c r="F111" s="4">
        <v>4000</v>
      </c>
      <c r="G111" s="4">
        <f t="shared" si="8"/>
        <v>36000</v>
      </c>
      <c r="H111" s="3">
        <v>5</v>
      </c>
      <c r="I111" s="4">
        <f t="shared" si="9"/>
        <v>4000</v>
      </c>
      <c r="J111" s="4">
        <f t="shared" si="10"/>
        <v>20000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652330</v>
      </c>
      <c r="H121" s="5"/>
      <c r="I121" s="5"/>
      <c r="J121" s="5">
        <f>SUM(J89:J120)</f>
        <v>405700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1193225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1C85-C33B-4994-8A6B-6319196EDB64}">
  <dimension ref="A1:M268"/>
  <sheetViews>
    <sheetView topLeftCell="A7" workbookViewId="0">
      <selection activeCell="J145" sqref="J145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0.25</v>
      </c>
      <c r="D3" s="3">
        <v>0.75</v>
      </c>
      <c r="E3" s="3">
        <f t="shared" ref="E3:E66" si="0">C3+D3</f>
        <v>1</v>
      </c>
      <c r="F3" s="4">
        <v>36000</v>
      </c>
      <c r="G3" s="4">
        <f>F3*E3</f>
        <v>36000</v>
      </c>
      <c r="H3" s="3">
        <v>0.25</v>
      </c>
      <c r="I3" s="4">
        <f>F3</f>
        <v>36000</v>
      </c>
      <c r="J3" s="4">
        <f>I3*H3</f>
        <v>9000</v>
      </c>
    </row>
    <row r="4" spans="1:13" x14ac:dyDescent="0.25">
      <c r="A4" s="3">
        <v>2</v>
      </c>
      <c r="B4" t="s">
        <v>10</v>
      </c>
      <c r="C4" s="3"/>
      <c r="D4" s="3">
        <v>0.75</v>
      </c>
      <c r="E4" s="3">
        <f t="shared" si="0"/>
        <v>0.75</v>
      </c>
      <c r="F4" s="4">
        <v>36000</v>
      </c>
      <c r="G4" s="4">
        <f t="shared" ref="G4:G73" si="1">F4*E4</f>
        <v>27000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>
        <v>0.25</v>
      </c>
      <c r="D6" s="3">
        <v>0.25</v>
      </c>
      <c r="E6" s="3">
        <f t="shared" si="0"/>
        <v>0.5</v>
      </c>
      <c r="F6" s="4">
        <v>60000</v>
      </c>
      <c r="G6" s="4">
        <f t="shared" si="1"/>
        <v>30000</v>
      </c>
      <c r="H6" s="3">
        <v>0.22</v>
      </c>
      <c r="I6" s="4">
        <f t="shared" si="2"/>
        <v>60000</v>
      </c>
      <c r="J6" s="4">
        <f t="shared" si="3"/>
        <v>13200</v>
      </c>
    </row>
    <row r="7" spans="1:13" x14ac:dyDescent="0.25">
      <c r="A7" s="3">
        <v>5</v>
      </c>
      <c r="B7" t="s">
        <v>13</v>
      </c>
      <c r="C7" s="3"/>
      <c r="D7" s="3">
        <v>0.5</v>
      </c>
      <c r="E7" s="3">
        <f t="shared" si="0"/>
        <v>0.5</v>
      </c>
      <c r="F7" s="4">
        <v>40000</v>
      </c>
      <c r="G7" s="4">
        <f t="shared" si="1"/>
        <v>20000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0.5</v>
      </c>
      <c r="E8" s="3">
        <f t="shared" si="0"/>
        <v>0.5</v>
      </c>
      <c r="F8" s="4">
        <v>50000</v>
      </c>
      <c r="G8" s="4">
        <f t="shared" si="1"/>
        <v>25000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>
        <v>0.22</v>
      </c>
      <c r="D9" s="3">
        <v>1</v>
      </c>
      <c r="E9" s="3">
        <f t="shared" si="0"/>
        <v>1.22</v>
      </c>
      <c r="F9" s="4">
        <v>13000</v>
      </c>
      <c r="G9" s="4">
        <f t="shared" si="1"/>
        <v>15860</v>
      </c>
      <c r="H9" s="3">
        <v>0.5</v>
      </c>
      <c r="I9" s="4">
        <f t="shared" si="2"/>
        <v>13000</v>
      </c>
      <c r="J9" s="4">
        <f t="shared" si="3"/>
        <v>6500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0.5</v>
      </c>
      <c r="D19" s="3">
        <v>1</v>
      </c>
      <c r="E19" s="3">
        <f t="shared" si="0"/>
        <v>1.5</v>
      </c>
      <c r="F19" s="4">
        <v>20000</v>
      </c>
      <c r="G19" s="4">
        <f t="shared" si="1"/>
        <v>30000</v>
      </c>
      <c r="H19" s="3">
        <v>1</v>
      </c>
      <c r="I19" s="4">
        <f t="shared" si="2"/>
        <v>20000</v>
      </c>
      <c r="J19" s="4">
        <f t="shared" si="3"/>
        <v>20000</v>
      </c>
    </row>
    <row r="20" spans="1:10" x14ac:dyDescent="0.25">
      <c r="A20" s="3">
        <v>18</v>
      </c>
      <c r="B20" t="s">
        <v>25</v>
      </c>
      <c r="C20" s="3">
        <v>2.4</v>
      </c>
      <c r="D20" s="3"/>
      <c r="E20" s="3">
        <f t="shared" si="0"/>
        <v>2.4</v>
      </c>
      <c r="F20" s="4">
        <v>11000</v>
      </c>
      <c r="G20" s="4">
        <f t="shared" si="1"/>
        <v>26400</v>
      </c>
      <c r="H20" s="3">
        <v>1</v>
      </c>
      <c r="I20" s="4">
        <f t="shared" si="2"/>
        <v>11000</v>
      </c>
      <c r="J20" s="4">
        <f t="shared" si="3"/>
        <v>11000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>
        <v>0.25</v>
      </c>
      <c r="E22" s="3">
        <f t="shared" si="0"/>
        <v>0.25</v>
      </c>
      <c r="F22" s="4">
        <v>15000</v>
      </c>
      <c r="G22" s="4">
        <f t="shared" si="1"/>
        <v>3750</v>
      </c>
      <c r="H22" s="3">
        <v>0.17</v>
      </c>
      <c r="I22" s="4">
        <f t="shared" si="2"/>
        <v>15000</v>
      </c>
      <c r="J22" s="4">
        <f t="shared" si="3"/>
        <v>2550</v>
      </c>
    </row>
    <row r="23" spans="1:10" x14ac:dyDescent="0.25">
      <c r="A23" s="3">
        <v>21</v>
      </c>
      <c r="B23" t="s">
        <v>28</v>
      </c>
      <c r="C23" s="3">
        <v>1.1000000000000001</v>
      </c>
      <c r="D23" s="3">
        <v>2</v>
      </c>
      <c r="E23" s="3">
        <f t="shared" si="0"/>
        <v>3.1</v>
      </c>
      <c r="F23" s="4">
        <v>8000</v>
      </c>
      <c r="G23" s="4">
        <f>F23*E23</f>
        <v>24800</v>
      </c>
      <c r="H23" s="3">
        <v>1</v>
      </c>
      <c r="I23" s="4">
        <f t="shared" si="2"/>
        <v>8000</v>
      </c>
      <c r="J23" s="4">
        <f t="shared" si="3"/>
        <v>8000</v>
      </c>
    </row>
    <row r="24" spans="1:10" x14ac:dyDescent="0.25">
      <c r="A24" s="3">
        <v>22</v>
      </c>
      <c r="B24" t="s">
        <v>29</v>
      </c>
      <c r="C24" s="3">
        <v>0.25</v>
      </c>
      <c r="D24" s="3"/>
      <c r="E24" s="3">
        <f t="shared" si="0"/>
        <v>0.25</v>
      </c>
      <c r="F24" s="4">
        <v>8000</v>
      </c>
      <c r="G24" s="4">
        <f t="shared" si="1"/>
        <v>2000</v>
      </c>
      <c r="H24" s="3">
        <v>0.21</v>
      </c>
      <c r="I24" s="4">
        <f t="shared" si="2"/>
        <v>8000</v>
      </c>
      <c r="J24" s="4">
        <f t="shared" si="3"/>
        <v>1680</v>
      </c>
    </row>
    <row r="25" spans="1:10" x14ac:dyDescent="0.25">
      <c r="A25" s="3">
        <v>23</v>
      </c>
      <c r="B25" t="s">
        <v>30</v>
      </c>
      <c r="C25" s="3">
        <v>1</v>
      </c>
      <c r="D25" s="3">
        <v>2</v>
      </c>
      <c r="E25" s="3">
        <f t="shared" si="0"/>
        <v>3</v>
      </c>
      <c r="F25" s="4">
        <v>3000</v>
      </c>
      <c r="G25" s="4">
        <f t="shared" si="1"/>
        <v>9000</v>
      </c>
      <c r="H25" s="3">
        <v>2</v>
      </c>
      <c r="I25" s="4">
        <f t="shared" si="2"/>
        <v>3000</v>
      </c>
      <c r="J25" s="4">
        <f t="shared" si="3"/>
        <v>6000</v>
      </c>
    </row>
    <row r="26" spans="1:10" x14ac:dyDescent="0.25">
      <c r="A26" s="3">
        <v>24</v>
      </c>
      <c r="B26" t="s">
        <v>31</v>
      </c>
      <c r="C26" s="3">
        <v>0.25</v>
      </c>
      <c r="D26" s="3">
        <v>1</v>
      </c>
      <c r="E26" s="3">
        <f t="shared" si="0"/>
        <v>1.25</v>
      </c>
      <c r="F26" s="4">
        <v>11500</v>
      </c>
      <c r="G26" s="4">
        <f t="shared" si="1"/>
        <v>14375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>
        <v>0.34</v>
      </c>
      <c r="D27" s="3"/>
      <c r="E27" s="3">
        <f t="shared" si="0"/>
        <v>0.34</v>
      </c>
      <c r="F27" s="4">
        <v>8500</v>
      </c>
      <c r="G27" s="4">
        <f t="shared" si="1"/>
        <v>2890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0.25</v>
      </c>
      <c r="D29" s="3"/>
      <c r="E29" s="3">
        <f t="shared" si="0"/>
        <v>0.25</v>
      </c>
      <c r="F29" s="4">
        <v>24000</v>
      </c>
      <c r="G29" s="4">
        <f t="shared" si="1"/>
        <v>6000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/>
      <c r="D34" s="3">
        <v>5</v>
      </c>
      <c r="E34" s="3">
        <f t="shared" si="0"/>
        <v>5</v>
      </c>
      <c r="F34" s="4">
        <v>17500</v>
      </c>
      <c r="G34" s="4">
        <f t="shared" si="1"/>
        <v>87500</v>
      </c>
      <c r="H34" s="3"/>
      <c r="I34" s="4">
        <f t="shared" si="2"/>
        <v>17500</v>
      </c>
      <c r="J34" s="4">
        <f t="shared" si="3"/>
        <v>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2</v>
      </c>
      <c r="E41" s="3">
        <f t="shared" si="0"/>
        <v>3</v>
      </c>
      <c r="F41" s="4">
        <v>83000</v>
      </c>
      <c r="G41" s="4">
        <f t="shared" si="1"/>
        <v>249000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3</v>
      </c>
      <c r="D42" s="3">
        <v>2</v>
      </c>
      <c r="E42" s="3">
        <f t="shared" si="0"/>
        <v>5</v>
      </c>
      <c r="F42" s="4">
        <v>21000</v>
      </c>
      <c r="G42" s="4">
        <f t="shared" si="1"/>
        <v>105000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>
        <v>8</v>
      </c>
      <c r="D43" s="3"/>
      <c r="E43" s="3">
        <f t="shared" si="0"/>
        <v>8</v>
      </c>
      <c r="F43" s="4">
        <v>25000</v>
      </c>
      <c r="G43" s="4">
        <f t="shared" si="1"/>
        <v>200000</v>
      </c>
      <c r="H43" s="3">
        <v>5</v>
      </c>
      <c r="I43" s="4">
        <f t="shared" si="2"/>
        <v>25000</v>
      </c>
      <c r="J43" s="4">
        <f t="shared" si="3"/>
        <v>125000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4</v>
      </c>
      <c r="D45" s="3"/>
      <c r="E45" s="3">
        <f t="shared" si="0"/>
        <v>4</v>
      </c>
      <c r="F45" s="4">
        <v>15500</v>
      </c>
      <c r="G45" s="4">
        <f t="shared" si="1"/>
        <v>62000</v>
      </c>
      <c r="H45" s="3">
        <v>1</v>
      </c>
      <c r="I45" s="4">
        <f t="shared" si="2"/>
        <v>15500</v>
      </c>
      <c r="J45" s="4">
        <f t="shared" si="3"/>
        <v>15500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6</v>
      </c>
      <c r="D49" s="3">
        <v>15</v>
      </c>
      <c r="E49" s="3">
        <f t="shared" si="0"/>
        <v>21</v>
      </c>
      <c r="F49" s="4">
        <v>6000</v>
      </c>
      <c r="G49" s="4">
        <f t="shared" si="1"/>
        <v>126000</v>
      </c>
      <c r="H49" s="3">
        <v>11</v>
      </c>
      <c r="I49" s="4">
        <f t="shared" si="2"/>
        <v>6000</v>
      </c>
      <c r="J49" s="4">
        <f t="shared" si="3"/>
        <v>66000</v>
      </c>
    </row>
    <row r="50" spans="1:10" x14ac:dyDescent="0.25">
      <c r="A50" s="3">
        <v>48</v>
      </c>
      <c r="B50" t="s">
        <v>55</v>
      </c>
      <c r="C50" s="3">
        <v>49</v>
      </c>
      <c r="D50" s="3"/>
      <c r="E50" s="3">
        <f t="shared" si="0"/>
        <v>49</v>
      </c>
      <c r="F50" s="4"/>
      <c r="G50" s="4">
        <f t="shared" si="1"/>
        <v>0</v>
      </c>
      <c r="H50" s="3">
        <v>34</v>
      </c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</v>
      </c>
      <c r="D51" s="3">
        <v>1</v>
      </c>
      <c r="E51" s="3">
        <f t="shared" si="0"/>
        <v>2</v>
      </c>
      <c r="F51" s="4">
        <v>12000</v>
      </c>
      <c r="G51" s="4">
        <f>F51*E51</f>
        <v>24000</v>
      </c>
      <c r="H51" s="3"/>
      <c r="I51" s="4">
        <f t="shared" si="2"/>
        <v>12000</v>
      </c>
      <c r="J51" s="4">
        <f t="shared" si="3"/>
        <v>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21</v>
      </c>
      <c r="D61" s="3"/>
      <c r="E61" s="3">
        <f t="shared" si="0"/>
        <v>21</v>
      </c>
      <c r="F61" s="4">
        <v>5700</v>
      </c>
      <c r="G61" s="4">
        <f t="shared" si="1"/>
        <v>119700</v>
      </c>
      <c r="H61" s="3"/>
      <c r="I61" s="4">
        <f t="shared" si="2"/>
        <v>5700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6</v>
      </c>
      <c r="D64" s="3"/>
      <c r="E64" s="3">
        <f t="shared" si="0"/>
        <v>6</v>
      </c>
      <c r="F64" s="4">
        <v>4875</v>
      </c>
      <c r="G64" s="4">
        <f t="shared" si="1"/>
        <v>29250</v>
      </c>
      <c r="H64" s="3">
        <v>4</v>
      </c>
      <c r="I64" s="4">
        <f t="shared" si="2"/>
        <v>4875</v>
      </c>
      <c r="J64" s="4">
        <f t="shared" si="3"/>
        <v>19500</v>
      </c>
    </row>
    <row r="65" spans="1:10" x14ac:dyDescent="0.25">
      <c r="A65" s="3">
        <v>63</v>
      </c>
      <c r="B65" t="s">
        <v>70</v>
      </c>
      <c r="C65" s="3">
        <v>0.25</v>
      </c>
      <c r="D65" s="3"/>
      <c r="E65" s="3">
        <f t="shared" si="0"/>
        <v>0.25</v>
      </c>
      <c r="F65" s="4">
        <v>21000</v>
      </c>
      <c r="G65" s="4">
        <f t="shared" si="1"/>
        <v>5250</v>
      </c>
      <c r="H65" s="3"/>
      <c r="I65" s="4">
        <f t="shared" si="2"/>
        <v>21000</v>
      </c>
      <c r="J65" s="4">
        <f t="shared" si="3"/>
        <v>0</v>
      </c>
    </row>
    <row r="66" spans="1:10" x14ac:dyDescent="0.25">
      <c r="A66" s="3">
        <v>64</v>
      </c>
      <c r="B66" t="s">
        <v>115</v>
      </c>
      <c r="C66" s="3">
        <v>0.75</v>
      </c>
      <c r="D66" s="3"/>
      <c r="E66" s="3">
        <f t="shared" si="0"/>
        <v>0.75</v>
      </c>
      <c r="F66" s="4">
        <v>100000</v>
      </c>
      <c r="G66" s="4">
        <f t="shared" si="1"/>
        <v>75000</v>
      </c>
      <c r="H66" s="3">
        <v>0.47</v>
      </c>
      <c r="I66" s="4">
        <f t="shared" si="2"/>
        <v>100000</v>
      </c>
      <c r="J66" s="4">
        <f t="shared" si="3"/>
        <v>47000</v>
      </c>
    </row>
    <row r="67" spans="1:10" x14ac:dyDescent="0.25">
      <c r="A67" s="3">
        <v>65</v>
      </c>
      <c r="B67" t="s">
        <v>71</v>
      </c>
      <c r="C67" s="3">
        <v>1</v>
      </c>
      <c r="D67" s="3"/>
      <c r="E67" s="3">
        <f t="shared" ref="E67:E83" si="4">C67+D67</f>
        <v>1</v>
      </c>
      <c r="F67" s="4">
        <v>17500</v>
      </c>
      <c r="G67" s="4">
        <f t="shared" si="1"/>
        <v>17500</v>
      </c>
      <c r="H67" s="3"/>
      <c r="I67" s="4">
        <f t="shared" si="2"/>
        <v>17500</v>
      </c>
      <c r="J67" s="4">
        <f t="shared" si="3"/>
        <v>0</v>
      </c>
    </row>
    <row r="68" spans="1:10" x14ac:dyDescent="0.25">
      <c r="A68" s="3">
        <v>66</v>
      </c>
      <c r="B68" t="s">
        <v>72</v>
      </c>
      <c r="C68" s="3">
        <v>2</v>
      </c>
      <c r="D68" s="3"/>
      <c r="E68" s="3">
        <f t="shared" si="4"/>
        <v>2</v>
      </c>
      <c r="F68" s="4">
        <v>8000</v>
      </c>
      <c r="G68" s="4">
        <f t="shared" si="1"/>
        <v>16000</v>
      </c>
      <c r="H68" s="3"/>
      <c r="I68" s="4">
        <f t="shared" si="2"/>
        <v>8000</v>
      </c>
      <c r="J68" s="4">
        <f t="shared" si="3"/>
        <v>0</v>
      </c>
    </row>
    <row r="69" spans="1:10" x14ac:dyDescent="0.25">
      <c r="A69" s="3">
        <v>67</v>
      </c>
      <c r="B69" t="s">
        <v>73</v>
      </c>
      <c r="C69" s="3">
        <v>1.25</v>
      </c>
      <c r="D69" s="3"/>
      <c r="E69" s="3">
        <f t="shared" si="4"/>
        <v>1.25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0.5</v>
      </c>
      <c r="D70" s="3"/>
      <c r="E70" s="3">
        <f t="shared" si="4"/>
        <v>0.5</v>
      </c>
      <c r="F70" s="4">
        <v>24000</v>
      </c>
      <c r="G70" s="4">
        <f t="shared" si="1"/>
        <v>12000</v>
      </c>
      <c r="H70" s="3"/>
      <c r="I70" s="4">
        <f t="shared" si="2"/>
        <v>24000</v>
      </c>
      <c r="J70" s="4">
        <f t="shared" si="5"/>
        <v>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/>
      <c r="E72" s="3">
        <f t="shared" si="4"/>
        <v>2</v>
      </c>
      <c r="F72" s="4">
        <v>15000</v>
      </c>
      <c r="G72" s="4">
        <f>F72*E72</f>
        <v>30000</v>
      </c>
      <c r="H72" s="3">
        <v>1</v>
      </c>
      <c r="I72" s="4">
        <f t="shared" si="2"/>
        <v>15000</v>
      </c>
      <c r="J72" s="4">
        <f t="shared" si="5"/>
        <v>15000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20</v>
      </c>
      <c r="D74" s="3"/>
      <c r="E74" s="3">
        <f t="shared" si="4"/>
        <v>20</v>
      </c>
      <c r="F74" s="4"/>
      <c r="G74" s="4">
        <f t="shared" ref="G74:G83" si="6">F74*E74</f>
        <v>0</v>
      </c>
      <c r="H74" s="3">
        <v>16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17</v>
      </c>
      <c r="D75" s="3"/>
      <c r="E75" s="3">
        <f t="shared" si="4"/>
        <v>17</v>
      </c>
      <c r="F75" s="4"/>
      <c r="G75" s="4">
        <f t="shared" si="6"/>
        <v>0</v>
      </c>
      <c r="H75" s="3">
        <v>17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/>
      <c r="D76" s="3"/>
      <c r="E76" s="3">
        <f t="shared" si="4"/>
        <v>0</v>
      </c>
      <c r="F76" s="4">
        <v>4875</v>
      </c>
      <c r="G76" s="4">
        <f t="shared" si="6"/>
        <v>0</v>
      </c>
      <c r="H76" s="3"/>
      <c r="I76" s="4">
        <f t="shared" si="7"/>
        <v>4875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1431275</v>
      </c>
      <c r="H85" s="5"/>
      <c r="I85" s="5"/>
      <c r="J85" s="5">
        <f>SUM(J3:J84)</f>
        <v>448930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45</v>
      </c>
      <c r="D89" s="3"/>
      <c r="E89" s="3">
        <f>C89+D89</f>
        <v>45</v>
      </c>
      <c r="F89" s="4">
        <v>1240</v>
      </c>
      <c r="G89" s="4">
        <f>F89*E89</f>
        <v>55800</v>
      </c>
      <c r="H89" s="3">
        <v>43</v>
      </c>
      <c r="I89" s="4">
        <f>F89</f>
        <v>1240</v>
      </c>
      <c r="J89" s="4">
        <f>I89*H89</f>
        <v>53320</v>
      </c>
    </row>
    <row r="90" spans="1:10" x14ac:dyDescent="0.25">
      <c r="A90" s="3">
        <v>2</v>
      </c>
      <c r="B90" t="s">
        <v>85</v>
      </c>
      <c r="C90" s="3">
        <v>28</v>
      </c>
      <c r="D90" s="3"/>
      <c r="E90" s="3">
        <f>C90+D90</f>
        <v>28</v>
      </c>
      <c r="F90" s="4">
        <v>1000</v>
      </c>
      <c r="G90" s="4">
        <f t="shared" ref="G90:G120" si="8">F90*E90</f>
        <v>28000</v>
      </c>
      <c r="H90" s="3">
        <v>20</v>
      </c>
      <c r="I90" s="4">
        <f t="shared" ref="I90:I120" si="9">F90</f>
        <v>1000</v>
      </c>
      <c r="J90" s="4">
        <f t="shared" ref="J90:J120" si="10">I90*H90</f>
        <v>20000</v>
      </c>
    </row>
    <row r="91" spans="1:10" x14ac:dyDescent="0.25">
      <c r="A91" s="3">
        <v>3</v>
      </c>
      <c r="B91" t="s">
        <v>86</v>
      </c>
      <c r="C91" s="3">
        <v>6</v>
      </c>
      <c r="D91" s="3"/>
      <c r="E91" s="3">
        <f t="shared" ref="E91:E120" si="11">C91+D91</f>
        <v>6</v>
      </c>
      <c r="F91" s="4">
        <v>1650</v>
      </c>
      <c r="G91" s="4">
        <f t="shared" si="8"/>
        <v>9900</v>
      </c>
      <c r="H91" s="3">
        <v>3</v>
      </c>
      <c r="I91" s="4">
        <f t="shared" si="9"/>
        <v>1650</v>
      </c>
      <c r="J91" s="4">
        <f t="shared" si="10"/>
        <v>4950</v>
      </c>
    </row>
    <row r="92" spans="1:10" x14ac:dyDescent="0.25">
      <c r="A92" s="3">
        <v>4</v>
      </c>
      <c r="B92" t="s">
        <v>87</v>
      </c>
      <c r="C92" s="3">
        <v>7</v>
      </c>
      <c r="D92" s="3"/>
      <c r="E92" s="3">
        <f t="shared" si="11"/>
        <v>7</v>
      </c>
      <c r="F92" s="4">
        <v>1650</v>
      </c>
      <c r="G92" s="4">
        <f t="shared" si="8"/>
        <v>11550</v>
      </c>
      <c r="H92" s="3">
        <v>4</v>
      </c>
      <c r="I92" s="4">
        <f t="shared" si="9"/>
        <v>1650</v>
      </c>
      <c r="J92" s="4">
        <f t="shared" si="10"/>
        <v>6600</v>
      </c>
    </row>
    <row r="93" spans="1:10" x14ac:dyDescent="0.25">
      <c r="A93" s="3">
        <v>5</v>
      </c>
      <c r="B93" t="s">
        <v>88</v>
      </c>
      <c r="C93" s="3">
        <v>10</v>
      </c>
      <c r="D93" s="3"/>
      <c r="E93" s="3">
        <f t="shared" si="11"/>
        <v>10</v>
      </c>
      <c r="F93" s="4">
        <v>1750</v>
      </c>
      <c r="G93" s="4">
        <f t="shared" si="8"/>
        <v>17500</v>
      </c>
      <c r="H93" s="3">
        <v>8</v>
      </c>
      <c r="I93" s="4">
        <f t="shared" si="9"/>
        <v>1750</v>
      </c>
      <c r="J93" s="4">
        <f t="shared" si="10"/>
        <v>14000</v>
      </c>
    </row>
    <row r="94" spans="1:10" x14ac:dyDescent="0.25">
      <c r="A94" s="3">
        <v>6</v>
      </c>
      <c r="B94" t="s">
        <v>89</v>
      </c>
      <c r="C94" s="3">
        <v>9</v>
      </c>
      <c r="D94" s="3"/>
      <c r="E94" s="3">
        <f t="shared" si="11"/>
        <v>9</v>
      </c>
      <c r="F94" s="4">
        <v>1500</v>
      </c>
      <c r="G94" s="4">
        <f t="shared" si="8"/>
        <v>13500</v>
      </c>
      <c r="H94" s="3">
        <v>3</v>
      </c>
      <c r="I94" s="4">
        <f t="shared" si="9"/>
        <v>1500</v>
      </c>
      <c r="J94" s="4">
        <f t="shared" si="10"/>
        <v>4500</v>
      </c>
    </row>
    <row r="95" spans="1:10" x14ac:dyDescent="0.25">
      <c r="A95" s="3">
        <v>7</v>
      </c>
      <c r="B95" t="s">
        <v>90</v>
      </c>
      <c r="C95" s="3">
        <v>6</v>
      </c>
      <c r="D95" s="3"/>
      <c r="E95" s="3">
        <f t="shared" si="11"/>
        <v>6</v>
      </c>
      <c r="F95" s="4">
        <v>1500</v>
      </c>
      <c r="G95" s="4">
        <f t="shared" si="8"/>
        <v>9000</v>
      </c>
      <c r="H95" s="3">
        <v>5</v>
      </c>
      <c r="I95" s="4">
        <f t="shared" si="9"/>
        <v>1500</v>
      </c>
      <c r="J95" s="4">
        <f t="shared" si="10"/>
        <v>7500</v>
      </c>
    </row>
    <row r="96" spans="1:10" x14ac:dyDescent="0.25">
      <c r="A96" s="3">
        <v>8</v>
      </c>
      <c r="B96" t="s">
        <v>91</v>
      </c>
      <c r="C96" s="3">
        <v>11</v>
      </c>
      <c r="D96" s="3"/>
      <c r="E96" s="3">
        <f t="shared" si="11"/>
        <v>11</v>
      </c>
      <c r="F96" s="4">
        <v>3350</v>
      </c>
      <c r="G96" s="4">
        <f t="shared" si="8"/>
        <v>36850</v>
      </c>
      <c r="H96" s="3">
        <v>9</v>
      </c>
      <c r="I96" s="4">
        <f t="shared" si="9"/>
        <v>3350</v>
      </c>
      <c r="J96" s="4">
        <f t="shared" si="10"/>
        <v>30150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8</v>
      </c>
      <c r="D98" s="3"/>
      <c r="E98" s="3">
        <f t="shared" si="11"/>
        <v>8</v>
      </c>
      <c r="F98" s="4">
        <v>9000</v>
      </c>
      <c r="G98" s="4">
        <f t="shared" si="8"/>
        <v>72000</v>
      </c>
      <c r="H98" s="3">
        <v>6</v>
      </c>
      <c r="I98" s="4">
        <f t="shared" si="9"/>
        <v>9000</v>
      </c>
      <c r="J98" s="4">
        <f t="shared" si="10"/>
        <v>54000</v>
      </c>
    </row>
    <row r="99" spans="1:10" x14ac:dyDescent="0.25">
      <c r="A99" s="3">
        <v>11</v>
      </c>
      <c r="B99" t="s">
        <v>94</v>
      </c>
      <c r="C99" s="3">
        <v>1</v>
      </c>
      <c r="D99" s="3"/>
      <c r="E99" s="3">
        <f t="shared" si="11"/>
        <v>1</v>
      </c>
      <c r="F99" s="4">
        <v>6000</v>
      </c>
      <c r="G99" s="4">
        <f t="shared" si="8"/>
        <v>6000</v>
      </c>
      <c r="H99" s="3">
        <v>0.5</v>
      </c>
      <c r="I99" s="4">
        <f t="shared" si="9"/>
        <v>6000</v>
      </c>
      <c r="J99" s="4">
        <f t="shared" si="10"/>
        <v>3000</v>
      </c>
    </row>
    <row r="100" spans="1:10" x14ac:dyDescent="0.25">
      <c r="A100" s="3">
        <v>12</v>
      </c>
      <c r="B100" t="s">
        <v>95</v>
      </c>
      <c r="C100" s="3">
        <v>5</v>
      </c>
      <c r="D100" s="3"/>
      <c r="E100" s="3">
        <f t="shared" si="11"/>
        <v>5</v>
      </c>
      <c r="F100" s="4">
        <v>8000</v>
      </c>
      <c r="G100" s="4">
        <f t="shared" si="8"/>
        <v>40000</v>
      </c>
      <c r="H100" s="3">
        <v>3</v>
      </c>
      <c r="I100" s="4">
        <f t="shared" si="9"/>
        <v>8000</v>
      </c>
      <c r="J100" s="4">
        <f t="shared" si="10"/>
        <v>24000</v>
      </c>
    </row>
    <row r="101" spans="1:10" x14ac:dyDescent="0.25">
      <c r="A101" s="3">
        <v>13</v>
      </c>
      <c r="B101" t="s">
        <v>96</v>
      </c>
      <c r="C101" s="3">
        <v>2</v>
      </c>
      <c r="D101" s="3"/>
      <c r="E101" s="3">
        <f t="shared" si="11"/>
        <v>2</v>
      </c>
      <c r="F101" s="4">
        <v>3300</v>
      </c>
      <c r="G101" s="4">
        <f t="shared" si="8"/>
        <v>6600</v>
      </c>
      <c r="H101" s="3"/>
      <c r="I101" s="4">
        <f t="shared" si="9"/>
        <v>3300</v>
      </c>
      <c r="J101" s="4">
        <f t="shared" si="10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>
        <v>1</v>
      </c>
      <c r="D108" s="3"/>
      <c r="E108" s="3">
        <f t="shared" si="11"/>
        <v>1</v>
      </c>
      <c r="F108" s="4">
        <v>6000</v>
      </c>
      <c r="G108" s="4">
        <f t="shared" si="8"/>
        <v>6000</v>
      </c>
      <c r="H108" s="3">
        <v>0.5</v>
      </c>
      <c r="I108" s="4">
        <f t="shared" si="9"/>
        <v>6000</v>
      </c>
      <c r="J108" s="4">
        <f>I108*H108</f>
        <v>3000</v>
      </c>
    </row>
    <row r="109" spans="1:10" x14ac:dyDescent="0.25">
      <c r="A109" s="3">
        <v>21</v>
      </c>
      <c r="B109" t="s">
        <v>104</v>
      </c>
      <c r="C109" s="3">
        <v>1</v>
      </c>
      <c r="D109" s="3"/>
      <c r="E109" s="3">
        <f t="shared" si="11"/>
        <v>1</v>
      </c>
      <c r="F109" s="4">
        <v>8000</v>
      </c>
      <c r="G109" s="4">
        <f t="shared" si="8"/>
        <v>8000</v>
      </c>
      <c r="H109" s="3">
        <v>0.5</v>
      </c>
      <c r="I109" s="4">
        <f t="shared" si="9"/>
        <v>8000</v>
      </c>
      <c r="J109" s="4">
        <f t="shared" si="10"/>
        <v>4000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5</v>
      </c>
      <c r="D111" s="3">
        <v>3</v>
      </c>
      <c r="E111" s="3">
        <f t="shared" si="11"/>
        <v>8</v>
      </c>
      <c r="F111" s="4">
        <v>4000</v>
      </c>
      <c r="G111" s="4">
        <f t="shared" si="8"/>
        <v>32000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3</v>
      </c>
      <c r="I112" s="4">
        <f t="shared" si="9"/>
        <v>24000</v>
      </c>
      <c r="J112" s="4">
        <f t="shared" si="10"/>
        <v>72000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542700</v>
      </c>
      <c r="H121" s="5"/>
      <c r="I121" s="5"/>
      <c r="J121" s="5">
        <f>SUM(J89:J120)</f>
        <v>340020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788950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68CA-4236-4F0E-83E1-DD207F1D9DC0}">
  <dimension ref="A1:M268"/>
  <sheetViews>
    <sheetView workbookViewId="0">
      <selection activeCell="D14" sqref="D14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0.25</v>
      </c>
      <c r="D3" s="3">
        <v>0.5</v>
      </c>
      <c r="E3" s="3">
        <f t="shared" ref="E3:E66" si="0">C3+D3</f>
        <v>0.75</v>
      </c>
      <c r="F3" s="4">
        <v>36000</v>
      </c>
      <c r="G3" s="4">
        <f>F3*E3</f>
        <v>27000</v>
      </c>
      <c r="H3" s="3">
        <v>0.18</v>
      </c>
      <c r="I3" s="4">
        <f>F3</f>
        <v>36000</v>
      </c>
      <c r="J3" s="4">
        <f>I3*H3</f>
        <v>6480</v>
      </c>
    </row>
    <row r="4" spans="1:13" x14ac:dyDescent="0.25">
      <c r="A4" s="3">
        <v>2</v>
      </c>
      <c r="B4" t="s">
        <v>10</v>
      </c>
      <c r="C4" s="3"/>
      <c r="D4" s="3">
        <v>0.25</v>
      </c>
      <c r="E4" s="3">
        <f t="shared" si="0"/>
        <v>0.25</v>
      </c>
      <c r="F4" s="4">
        <v>36000</v>
      </c>
      <c r="G4" s="4">
        <f t="shared" ref="G4:G73" si="1">F4*E4</f>
        <v>9000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>
        <v>0.22</v>
      </c>
      <c r="D6" s="3"/>
      <c r="E6" s="3">
        <f t="shared" si="0"/>
        <v>0.22</v>
      </c>
      <c r="F6" s="4">
        <v>60000</v>
      </c>
      <c r="G6" s="4">
        <f t="shared" si="1"/>
        <v>13200</v>
      </c>
      <c r="H6" s="3">
        <v>0.16</v>
      </c>
      <c r="I6" s="4">
        <f t="shared" si="2"/>
        <v>60000</v>
      </c>
      <c r="J6" s="4">
        <f t="shared" si="3"/>
        <v>9600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0.5</v>
      </c>
      <c r="E8" s="3">
        <f t="shared" si="0"/>
        <v>0.5</v>
      </c>
      <c r="F8" s="4">
        <v>50000</v>
      </c>
      <c r="G8" s="4">
        <f t="shared" si="1"/>
        <v>25000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>
        <v>0.5</v>
      </c>
      <c r="D9" s="3">
        <v>1</v>
      </c>
      <c r="E9" s="3">
        <f t="shared" si="0"/>
        <v>1.5</v>
      </c>
      <c r="F9" s="4">
        <v>13000</v>
      </c>
      <c r="G9" s="4">
        <f t="shared" si="1"/>
        <v>19500</v>
      </c>
      <c r="H9" s="3">
        <v>1.25</v>
      </c>
      <c r="I9" s="4">
        <f t="shared" si="2"/>
        <v>13000</v>
      </c>
      <c r="J9" s="4">
        <f t="shared" si="3"/>
        <v>16250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1</v>
      </c>
      <c r="D19" s="3">
        <v>1</v>
      </c>
      <c r="E19" s="3">
        <f t="shared" si="0"/>
        <v>2</v>
      </c>
      <c r="F19" s="4">
        <v>20000</v>
      </c>
      <c r="G19" s="4">
        <f t="shared" si="1"/>
        <v>40000</v>
      </c>
      <c r="H19" s="3">
        <v>1.2</v>
      </c>
      <c r="I19" s="4">
        <f t="shared" si="2"/>
        <v>20000</v>
      </c>
      <c r="J19" s="4">
        <f t="shared" si="3"/>
        <v>24000</v>
      </c>
    </row>
    <row r="20" spans="1:10" x14ac:dyDescent="0.25">
      <c r="A20" s="3">
        <v>18</v>
      </c>
      <c r="B20" t="s">
        <v>25</v>
      </c>
      <c r="C20" s="3">
        <v>1</v>
      </c>
      <c r="D20" s="3">
        <v>2</v>
      </c>
      <c r="E20" s="3">
        <f t="shared" si="0"/>
        <v>3</v>
      </c>
      <c r="F20" s="4">
        <v>11000</v>
      </c>
      <c r="G20" s="4">
        <f t="shared" si="1"/>
        <v>33000</v>
      </c>
      <c r="H20" s="3">
        <v>1.5</v>
      </c>
      <c r="I20" s="4">
        <f t="shared" si="2"/>
        <v>11000</v>
      </c>
      <c r="J20" s="4">
        <f t="shared" si="3"/>
        <v>16500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0.17</v>
      </c>
      <c r="D22" s="3">
        <v>0.25</v>
      </c>
      <c r="E22" s="3">
        <f t="shared" si="0"/>
        <v>0.42000000000000004</v>
      </c>
      <c r="F22" s="4">
        <v>15000</v>
      </c>
      <c r="G22" s="4">
        <f t="shared" si="1"/>
        <v>6300.0000000000009</v>
      </c>
      <c r="H22" s="3">
        <v>0.13</v>
      </c>
      <c r="I22" s="4">
        <f t="shared" si="2"/>
        <v>15000</v>
      </c>
      <c r="J22" s="4">
        <f t="shared" si="3"/>
        <v>1950</v>
      </c>
    </row>
    <row r="23" spans="1:10" x14ac:dyDescent="0.25">
      <c r="A23" s="3">
        <v>21</v>
      </c>
      <c r="B23" t="s">
        <v>28</v>
      </c>
      <c r="C23" s="3">
        <v>1</v>
      </c>
      <c r="D23" s="3">
        <v>2.6</v>
      </c>
      <c r="E23" s="3">
        <f t="shared" si="0"/>
        <v>3.6</v>
      </c>
      <c r="F23" s="4">
        <v>8000</v>
      </c>
      <c r="G23" s="4">
        <f>F23*E23</f>
        <v>28800</v>
      </c>
      <c r="H23" s="3">
        <v>2.5</v>
      </c>
      <c r="I23" s="4">
        <f t="shared" si="2"/>
        <v>8000</v>
      </c>
      <c r="J23" s="4">
        <f t="shared" si="3"/>
        <v>20000</v>
      </c>
    </row>
    <row r="24" spans="1:10" x14ac:dyDescent="0.25">
      <c r="A24" s="3">
        <v>22</v>
      </c>
      <c r="B24" t="s">
        <v>29</v>
      </c>
      <c r="C24" s="3">
        <v>0.21</v>
      </c>
      <c r="D24" s="3"/>
      <c r="E24" s="3">
        <f t="shared" si="0"/>
        <v>0.21</v>
      </c>
      <c r="F24" s="4">
        <v>8000</v>
      </c>
      <c r="G24" s="4">
        <f t="shared" si="1"/>
        <v>1680</v>
      </c>
      <c r="H24" s="3">
        <v>0.04</v>
      </c>
      <c r="I24" s="4">
        <f t="shared" si="2"/>
        <v>8000</v>
      </c>
      <c r="J24" s="4">
        <f t="shared" si="3"/>
        <v>320</v>
      </c>
    </row>
    <row r="25" spans="1:10" x14ac:dyDescent="0.25">
      <c r="A25" s="3">
        <v>23</v>
      </c>
      <c r="B25" t="s">
        <v>30</v>
      </c>
      <c r="C25" s="3">
        <v>2</v>
      </c>
      <c r="D25" s="3"/>
      <c r="E25" s="3">
        <f t="shared" si="0"/>
        <v>2</v>
      </c>
      <c r="F25" s="4">
        <v>3000</v>
      </c>
      <c r="G25" s="4">
        <f t="shared" si="1"/>
        <v>6000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/>
      <c r="D26" s="3">
        <v>2</v>
      </c>
      <c r="E26" s="3">
        <f t="shared" si="0"/>
        <v>2</v>
      </c>
      <c r="F26" s="4">
        <v>11500</v>
      </c>
      <c r="G26" s="4">
        <f t="shared" si="1"/>
        <v>23000</v>
      </c>
      <c r="H26" s="3">
        <v>1.3</v>
      </c>
      <c r="I26" s="4">
        <f t="shared" si="2"/>
        <v>11500</v>
      </c>
      <c r="J26" s="4">
        <f t="shared" si="3"/>
        <v>14950</v>
      </c>
    </row>
    <row r="27" spans="1:10" x14ac:dyDescent="0.25">
      <c r="A27" s="3">
        <v>25</v>
      </c>
      <c r="B27" t="s">
        <v>32</v>
      </c>
      <c r="C27" s="3"/>
      <c r="D27" s="3">
        <v>0.5</v>
      </c>
      <c r="E27" s="3">
        <f t="shared" si="0"/>
        <v>0.5</v>
      </c>
      <c r="F27" s="4">
        <v>8500</v>
      </c>
      <c r="G27" s="4">
        <f t="shared" si="1"/>
        <v>4250</v>
      </c>
      <c r="H27" s="3">
        <v>0.5</v>
      </c>
      <c r="I27" s="4">
        <f t="shared" si="2"/>
        <v>8500</v>
      </c>
      <c r="J27" s="4">
        <f t="shared" si="3"/>
        <v>4250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>
        <v>0.5</v>
      </c>
      <c r="E29" s="3">
        <f t="shared" si="0"/>
        <v>0.5</v>
      </c>
      <c r="F29" s="4">
        <v>24000</v>
      </c>
      <c r="G29" s="4">
        <f t="shared" si="1"/>
        <v>12000</v>
      </c>
      <c r="H29" s="3">
        <v>0.25</v>
      </c>
      <c r="I29" s="4">
        <f t="shared" si="2"/>
        <v>24000</v>
      </c>
      <c r="J29" s="4">
        <f t="shared" si="3"/>
        <v>6000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/>
      <c r="D34" s="3">
        <v>7</v>
      </c>
      <c r="E34" s="3">
        <f t="shared" si="0"/>
        <v>7</v>
      </c>
      <c r="F34" s="4">
        <v>17500</v>
      </c>
      <c r="G34" s="4">
        <f t="shared" si="1"/>
        <v>122500</v>
      </c>
      <c r="H34" s="3">
        <v>3</v>
      </c>
      <c r="I34" s="4">
        <f t="shared" si="2"/>
        <v>17500</v>
      </c>
      <c r="J34" s="4">
        <f t="shared" si="3"/>
        <v>52500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2</v>
      </c>
      <c r="E41" s="3">
        <f t="shared" si="0"/>
        <v>3</v>
      </c>
      <c r="F41" s="4">
        <v>83000</v>
      </c>
      <c r="G41" s="4">
        <f t="shared" si="1"/>
        <v>249000</v>
      </c>
      <c r="H41" s="3">
        <v>2</v>
      </c>
      <c r="I41" s="4">
        <f t="shared" si="2"/>
        <v>83000</v>
      </c>
      <c r="J41" s="4">
        <f t="shared" si="3"/>
        <v>166000</v>
      </c>
    </row>
    <row r="42" spans="1:10" x14ac:dyDescent="0.25">
      <c r="A42" s="3">
        <v>40</v>
      </c>
      <c r="B42" t="s">
        <v>47</v>
      </c>
      <c r="C42" s="3"/>
      <c r="D42" s="3">
        <v>5</v>
      </c>
      <c r="E42" s="3">
        <f t="shared" si="0"/>
        <v>5</v>
      </c>
      <c r="F42" s="4">
        <v>21000</v>
      </c>
      <c r="G42" s="4">
        <f t="shared" si="1"/>
        <v>105000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>
        <v>5</v>
      </c>
      <c r="D43" s="3"/>
      <c r="E43" s="3">
        <f t="shared" si="0"/>
        <v>5</v>
      </c>
      <c r="F43" s="4">
        <v>25000</v>
      </c>
      <c r="G43" s="4">
        <f t="shared" si="1"/>
        <v>125000</v>
      </c>
      <c r="H43" s="3">
        <v>2.25</v>
      </c>
      <c r="I43" s="4">
        <f t="shared" si="2"/>
        <v>25000</v>
      </c>
      <c r="J43" s="4">
        <f t="shared" si="3"/>
        <v>56250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1</v>
      </c>
      <c r="D45" s="3">
        <v>4</v>
      </c>
      <c r="E45" s="3">
        <f t="shared" si="0"/>
        <v>5</v>
      </c>
      <c r="F45" s="4">
        <v>15500</v>
      </c>
      <c r="G45" s="4">
        <f t="shared" si="1"/>
        <v>77500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11</v>
      </c>
      <c r="D49" s="3"/>
      <c r="E49" s="3">
        <f t="shared" si="0"/>
        <v>11</v>
      </c>
      <c r="F49" s="4">
        <v>6000</v>
      </c>
      <c r="G49" s="4">
        <f t="shared" si="1"/>
        <v>66000</v>
      </c>
      <c r="H49" s="3">
        <v>3</v>
      </c>
      <c r="I49" s="4">
        <f t="shared" si="2"/>
        <v>6000</v>
      </c>
      <c r="J49" s="4">
        <f t="shared" si="3"/>
        <v>18000</v>
      </c>
    </row>
    <row r="50" spans="1:10" x14ac:dyDescent="0.25">
      <c r="A50" s="3">
        <v>48</v>
      </c>
      <c r="B50" t="s">
        <v>55</v>
      </c>
      <c r="C50" s="3">
        <v>34</v>
      </c>
      <c r="D50" s="3"/>
      <c r="E50" s="3">
        <f t="shared" si="0"/>
        <v>34</v>
      </c>
      <c r="F50" s="4"/>
      <c r="G50" s="4">
        <f t="shared" si="1"/>
        <v>0</v>
      </c>
      <c r="H50" s="3">
        <v>23</v>
      </c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/>
      <c r="D51" s="3">
        <v>3</v>
      </c>
      <c r="E51" s="3">
        <f t="shared" si="0"/>
        <v>3</v>
      </c>
      <c r="F51" s="4">
        <v>12000</v>
      </c>
      <c r="G51" s="4">
        <f>F51*E51</f>
        <v>36000</v>
      </c>
      <c r="H51" s="3">
        <v>2</v>
      </c>
      <c r="I51" s="4">
        <f t="shared" si="2"/>
        <v>12000</v>
      </c>
      <c r="J51" s="4">
        <f t="shared" si="3"/>
        <v>24000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>
        <v>21</v>
      </c>
      <c r="E61" s="3">
        <f t="shared" si="0"/>
        <v>21</v>
      </c>
      <c r="F61" s="4">
        <v>5700</v>
      </c>
      <c r="G61" s="4">
        <f t="shared" si="1"/>
        <v>119700</v>
      </c>
      <c r="H61" s="3">
        <v>1</v>
      </c>
      <c r="I61" s="4">
        <f t="shared" si="2"/>
        <v>5700</v>
      </c>
      <c r="J61" s="4">
        <f t="shared" si="3"/>
        <v>5700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4</v>
      </c>
      <c r="D64" s="3">
        <v>11</v>
      </c>
      <c r="E64" s="3">
        <f t="shared" si="0"/>
        <v>15</v>
      </c>
      <c r="F64" s="4">
        <v>4875</v>
      </c>
      <c r="G64" s="4">
        <f t="shared" si="1"/>
        <v>73125</v>
      </c>
      <c r="H64" s="3">
        <v>13</v>
      </c>
      <c r="I64" s="4">
        <f t="shared" si="2"/>
        <v>4875</v>
      </c>
      <c r="J64" s="4">
        <f t="shared" si="3"/>
        <v>63375</v>
      </c>
    </row>
    <row r="65" spans="1:10" x14ac:dyDescent="0.25">
      <c r="A65" s="3">
        <v>63</v>
      </c>
      <c r="B65" t="s">
        <v>70</v>
      </c>
      <c r="C65" s="3"/>
      <c r="D65" s="3">
        <v>10</v>
      </c>
      <c r="E65" s="3">
        <f t="shared" si="0"/>
        <v>10</v>
      </c>
      <c r="F65" s="4">
        <v>21000</v>
      </c>
      <c r="G65" s="4">
        <f t="shared" si="1"/>
        <v>210000</v>
      </c>
      <c r="H65" s="3">
        <v>4.25</v>
      </c>
      <c r="I65" s="4">
        <f t="shared" si="2"/>
        <v>21000</v>
      </c>
      <c r="J65" s="4">
        <f t="shared" si="3"/>
        <v>89250</v>
      </c>
    </row>
    <row r="66" spans="1:10" x14ac:dyDescent="0.25">
      <c r="A66" s="3">
        <v>64</v>
      </c>
      <c r="B66" t="s">
        <v>115</v>
      </c>
      <c r="C66" s="3">
        <v>0.47</v>
      </c>
      <c r="D66" s="3"/>
      <c r="E66" s="3">
        <f t="shared" si="0"/>
        <v>0.47</v>
      </c>
      <c r="F66" s="4">
        <v>100000</v>
      </c>
      <c r="G66" s="4">
        <f t="shared" si="1"/>
        <v>47000</v>
      </c>
      <c r="H66" s="3">
        <v>0.35</v>
      </c>
      <c r="I66" s="4">
        <f t="shared" si="2"/>
        <v>100000</v>
      </c>
      <c r="J66" s="4">
        <f t="shared" si="3"/>
        <v>35000</v>
      </c>
    </row>
    <row r="67" spans="1:10" x14ac:dyDescent="0.25">
      <c r="A67" s="3">
        <v>65</v>
      </c>
      <c r="B67" t="s">
        <v>71</v>
      </c>
      <c r="C67" s="3"/>
      <c r="D67" s="3">
        <v>2</v>
      </c>
      <c r="E67" s="3">
        <f t="shared" ref="E67:E83" si="4">C67+D67</f>
        <v>2</v>
      </c>
      <c r="F67" s="4">
        <v>17500</v>
      </c>
      <c r="G67" s="4">
        <f t="shared" si="1"/>
        <v>35000</v>
      </c>
      <c r="H67" s="3">
        <v>1</v>
      </c>
      <c r="I67" s="4">
        <f t="shared" si="2"/>
        <v>17500</v>
      </c>
      <c r="J67" s="4">
        <f t="shared" si="3"/>
        <v>17500</v>
      </c>
    </row>
    <row r="68" spans="1:10" x14ac:dyDescent="0.25">
      <c r="A68" s="3">
        <v>66</v>
      </c>
      <c r="B68" t="s">
        <v>72</v>
      </c>
      <c r="C68" s="3"/>
      <c r="D68" s="3">
        <v>4</v>
      </c>
      <c r="E68" s="3">
        <f t="shared" si="4"/>
        <v>4</v>
      </c>
      <c r="F68" s="4">
        <v>8000</v>
      </c>
      <c r="G68" s="4">
        <f t="shared" si="1"/>
        <v>32000</v>
      </c>
      <c r="H68" s="3">
        <v>4</v>
      </c>
      <c r="I68" s="4">
        <f t="shared" si="2"/>
        <v>8000</v>
      </c>
      <c r="J68" s="4">
        <f t="shared" si="3"/>
        <v>32000</v>
      </c>
    </row>
    <row r="69" spans="1:10" x14ac:dyDescent="0.25">
      <c r="A69" s="3">
        <v>67</v>
      </c>
      <c r="B69" t="s">
        <v>73</v>
      </c>
      <c r="C69" s="3"/>
      <c r="D69" s="3">
        <v>1</v>
      </c>
      <c r="E69" s="3">
        <f t="shared" si="4"/>
        <v>1</v>
      </c>
      <c r="F69" s="4"/>
      <c r="G69" s="4">
        <f t="shared" si="1"/>
        <v>0</v>
      </c>
      <c r="H69" s="3"/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/>
      <c r="D70" s="3">
        <v>1</v>
      </c>
      <c r="E70" s="3">
        <f t="shared" si="4"/>
        <v>1</v>
      </c>
      <c r="F70" s="4">
        <v>24000</v>
      </c>
      <c r="G70" s="4">
        <f t="shared" si="1"/>
        <v>24000</v>
      </c>
      <c r="H70" s="3">
        <v>0.5</v>
      </c>
      <c r="I70" s="4">
        <f t="shared" si="2"/>
        <v>24000</v>
      </c>
      <c r="J70" s="4">
        <f t="shared" si="5"/>
        <v>12000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>
        <v>2</v>
      </c>
      <c r="E72" s="3">
        <f t="shared" si="4"/>
        <v>3</v>
      </c>
      <c r="F72" s="4">
        <v>15000</v>
      </c>
      <c r="G72" s="4">
        <f>F72*E72</f>
        <v>45000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16</v>
      </c>
      <c r="D74" s="3"/>
      <c r="E74" s="3">
        <f t="shared" si="4"/>
        <v>16</v>
      </c>
      <c r="F74" s="4"/>
      <c r="G74" s="4">
        <f t="shared" ref="G74:G83" si="6">F74*E74</f>
        <v>0</v>
      </c>
      <c r="H74" s="3">
        <v>15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17</v>
      </c>
      <c r="D75" s="3"/>
      <c r="E75" s="3">
        <f t="shared" si="4"/>
        <v>17</v>
      </c>
      <c r="F75" s="4"/>
      <c r="G75" s="4">
        <f t="shared" si="6"/>
        <v>0</v>
      </c>
      <c r="H75" s="3">
        <v>17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/>
      <c r="D76" s="3">
        <v>16</v>
      </c>
      <c r="E76" s="3">
        <f t="shared" si="4"/>
        <v>16</v>
      </c>
      <c r="F76" s="4">
        <v>4875</v>
      </c>
      <c r="G76" s="4">
        <f t="shared" si="6"/>
        <v>78000</v>
      </c>
      <c r="H76" s="3">
        <v>16</v>
      </c>
      <c r="I76" s="4">
        <f t="shared" si="7"/>
        <v>4875</v>
      </c>
      <c r="J76" s="4">
        <f t="shared" si="5"/>
        <v>78000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1703555</v>
      </c>
      <c r="H85" s="5"/>
      <c r="I85" s="5"/>
      <c r="J85" s="5">
        <f>SUM(J3:J84)</f>
        <v>830875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43</v>
      </c>
      <c r="D89" s="3"/>
      <c r="E89" s="3">
        <f>C89+D89</f>
        <v>43</v>
      </c>
      <c r="F89" s="4">
        <v>1240</v>
      </c>
      <c r="G89" s="4">
        <f>F89*E89</f>
        <v>53320</v>
      </c>
      <c r="H89" s="3">
        <v>41</v>
      </c>
      <c r="I89" s="4">
        <f>F89</f>
        <v>1240</v>
      </c>
      <c r="J89" s="4">
        <f>I89*H89</f>
        <v>50840</v>
      </c>
    </row>
    <row r="90" spans="1:10" x14ac:dyDescent="0.25">
      <c r="A90" s="3">
        <v>2</v>
      </c>
      <c r="B90" t="s">
        <v>85</v>
      </c>
      <c r="C90" s="3">
        <v>20</v>
      </c>
      <c r="D90" s="3">
        <v>11</v>
      </c>
      <c r="E90" s="3">
        <f>C90+D90</f>
        <v>31</v>
      </c>
      <c r="F90" s="4">
        <v>1000</v>
      </c>
      <c r="G90" s="4">
        <f t="shared" ref="G90:G120" si="8">F90*E90</f>
        <v>31000</v>
      </c>
      <c r="H90" s="3">
        <v>20</v>
      </c>
      <c r="I90" s="4">
        <f t="shared" ref="I90:I120" si="9">F90</f>
        <v>1000</v>
      </c>
      <c r="J90" s="4">
        <f t="shared" ref="J90:J120" si="10">I90*H90</f>
        <v>20000</v>
      </c>
    </row>
    <row r="91" spans="1:10" x14ac:dyDescent="0.25">
      <c r="A91" s="3">
        <v>3</v>
      </c>
      <c r="B91" t="s">
        <v>86</v>
      </c>
      <c r="C91" s="3">
        <v>3</v>
      </c>
      <c r="D91" s="3">
        <v>10</v>
      </c>
      <c r="E91" s="3">
        <f t="shared" ref="E91:E120" si="11">C91+D91</f>
        <v>13</v>
      </c>
      <c r="F91" s="4">
        <v>1650</v>
      </c>
      <c r="G91" s="4">
        <f t="shared" si="8"/>
        <v>21450</v>
      </c>
      <c r="H91" s="3">
        <v>11</v>
      </c>
      <c r="I91" s="4">
        <f t="shared" si="9"/>
        <v>1650</v>
      </c>
      <c r="J91" s="4">
        <f t="shared" si="10"/>
        <v>18150</v>
      </c>
    </row>
    <row r="92" spans="1:10" x14ac:dyDescent="0.25">
      <c r="A92" s="3">
        <v>4</v>
      </c>
      <c r="B92" t="s">
        <v>87</v>
      </c>
      <c r="C92" s="3">
        <v>4</v>
      </c>
      <c r="D92" s="3">
        <v>10</v>
      </c>
      <c r="E92" s="3">
        <f t="shared" si="11"/>
        <v>14</v>
      </c>
      <c r="F92" s="4">
        <v>1650</v>
      </c>
      <c r="G92" s="4">
        <f t="shared" si="8"/>
        <v>23100</v>
      </c>
      <c r="H92" s="3">
        <v>12</v>
      </c>
      <c r="I92" s="4">
        <f t="shared" si="9"/>
        <v>1650</v>
      </c>
      <c r="J92" s="4">
        <f t="shared" si="10"/>
        <v>19800</v>
      </c>
    </row>
    <row r="93" spans="1:10" x14ac:dyDescent="0.25">
      <c r="A93" s="3">
        <v>5</v>
      </c>
      <c r="B93" t="s">
        <v>88</v>
      </c>
      <c r="C93" s="3">
        <v>8</v>
      </c>
      <c r="D93" s="3"/>
      <c r="E93" s="3">
        <f t="shared" si="11"/>
        <v>8</v>
      </c>
      <c r="F93" s="4">
        <v>1750</v>
      </c>
      <c r="G93" s="4">
        <f t="shared" si="8"/>
        <v>14000</v>
      </c>
      <c r="H93" s="3">
        <v>7</v>
      </c>
      <c r="I93" s="4">
        <f t="shared" si="9"/>
        <v>1750</v>
      </c>
      <c r="J93" s="4">
        <f t="shared" si="10"/>
        <v>12250</v>
      </c>
    </row>
    <row r="94" spans="1:10" x14ac:dyDescent="0.25">
      <c r="A94" s="3">
        <v>6</v>
      </c>
      <c r="B94" t="s">
        <v>89</v>
      </c>
      <c r="C94" s="3">
        <v>3</v>
      </c>
      <c r="D94" s="3">
        <v>12</v>
      </c>
      <c r="E94" s="3">
        <f t="shared" si="11"/>
        <v>15</v>
      </c>
      <c r="F94" s="4">
        <v>1500</v>
      </c>
      <c r="G94" s="4">
        <f t="shared" si="8"/>
        <v>22500</v>
      </c>
      <c r="H94" s="3">
        <v>4</v>
      </c>
      <c r="I94" s="4">
        <f t="shared" si="9"/>
        <v>1500</v>
      </c>
      <c r="J94" s="4">
        <f t="shared" si="10"/>
        <v>6000</v>
      </c>
    </row>
    <row r="95" spans="1:10" x14ac:dyDescent="0.25">
      <c r="A95" s="3">
        <v>7</v>
      </c>
      <c r="B95" t="s">
        <v>90</v>
      </c>
      <c r="C95" s="3">
        <v>5</v>
      </c>
      <c r="D95" s="3">
        <v>6</v>
      </c>
      <c r="E95" s="3">
        <f t="shared" si="11"/>
        <v>11</v>
      </c>
      <c r="F95" s="4">
        <v>1500</v>
      </c>
      <c r="G95" s="4">
        <f t="shared" si="8"/>
        <v>16500</v>
      </c>
      <c r="H95" s="3">
        <v>10</v>
      </c>
      <c r="I95" s="4">
        <f t="shared" si="9"/>
        <v>1500</v>
      </c>
      <c r="J95" s="4">
        <f t="shared" si="10"/>
        <v>15000</v>
      </c>
    </row>
    <row r="96" spans="1:10" x14ac:dyDescent="0.25">
      <c r="A96" s="3">
        <v>8</v>
      </c>
      <c r="B96" t="s">
        <v>91</v>
      </c>
      <c r="C96" s="3">
        <v>9</v>
      </c>
      <c r="D96" s="3"/>
      <c r="E96" s="3">
        <f t="shared" si="11"/>
        <v>9</v>
      </c>
      <c r="F96" s="4">
        <v>3350</v>
      </c>
      <c r="G96" s="4">
        <f t="shared" si="8"/>
        <v>30150</v>
      </c>
      <c r="H96" s="3">
        <v>5</v>
      </c>
      <c r="I96" s="4">
        <f t="shared" si="9"/>
        <v>3350</v>
      </c>
      <c r="J96" s="4">
        <f t="shared" si="10"/>
        <v>16750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6</v>
      </c>
      <c r="D98" s="3"/>
      <c r="E98" s="3">
        <f t="shared" si="11"/>
        <v>6</v>
      </c>
      <c r="F98" s="4">
        <v>9000</v>
      </c>
      <c r="G98" s="4">
        <f t="shared" si="8"/>
        <v>54000</v>
      </c>
      <c r="H98" s="3">
        <v>4</v>
      </c>
      <c r="I98" s="4">
        <f t="shared" si="9"/>
        <v>9000</v>
      </c>
      <c r="J98" s="4">
        <f t="shared" si="10"/>
        <v>36000</v>
      </c>
    </row>
    <row r="99" spans="1:10" x14ac:dyDescent="0.25">
      <c r="A99" s="3">
        <v>11</v>
      </c>
      <c r="B99" t="s">
        <v>94</v>
      </c>
      <c r="C99" s="3">
        <v>0.5</v>
      </c>
      <c r="D99" s="3">
        <v>2</v>
      </c>
      <c r="E99" s="3">
        <f t="shared" si="11"/>
        <v>2.5</v>
      </c>
      <c r="F99" s="4">
        <v>6000</v>
      </c>
      <c r="G99" s="4">
        <f t="shared" si="8"/>
        <v>15000</v>
      </c>
      <c r="H99" s="3">
        <v>2</v>
      </c>
      <c r="I99" s="4">
        <f t="shared" si="9"/>
        <v>6000</v>
      </c>
      <c r="J99" s="4">
        <f t="shared" si="10"/>
        <v>12000</v>
      </c>
    </row>
    <row r="100" spans="1:10" x14ac:dyDescent="0.25">
      <c r="A100" s="3">
        <v>12</v>
      </c>
      <c r="B100" t="s">
        <v>95</v>
      </c>
      <c r="C100" s="3">
        <v>3</v>
      </c>
      <c r="D100" s="3">
        <v>5</v>
      </c>
      <c r="E100" s="3">
        <f t="shared" si="11"/>
        <v>8</v>
      </c>
      <c r="F100" s="4">
        <v>8000</v>
      </c>
      <c r="G100" s="4">
        <f t="shared" si="8"/>
        <v>64000</v>
      </c>
      <c r="H100" s="3">
        <v>5</v>
      </c>
      <c r="I100" s="4">
        <f t="shared" si="9"/>
        <v>8000</v>
      </c>
      <c r="J100" s="4">
        <f t="shared" si="10"/>
        <v>40000</v>
      </c>
    </row>
    <row r="101" spans="1:10" x14ac:dyDescent="0.25">
      <c r="A101" s="3">
        <v>13</v>
      </c>
      <c r="B101" t="s">
        <v>96</v>
      </c>
      <c r="C101" s="3"/>
      <c r="D101" s="3">
        <v>12</v>
      </c>
      <c r="E101" s="3">
        <f t="shared" si="11"/>
        <v>12</v>
      </c>
      <c r="F101" s="4">
        <v>3300</v>
      </c>
      <c r="G101" s="4">
        <f t="shared" si="8"/>
        <v>39600</v>
      </c>
      <c r="H101" s="3">
        <v>7</v>
      </c>
      <c r="I101" s="4">
        <f t="shared" si="9"/>
        <v>3300</v>
      </c>
      <c r="J101" s="4">
        <f t="shared" si="10"/>
        <v>23100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>
        <v>0.5</v>
      </c>
      <c r="D108" s="3"/>
      <c r="E108" s="3">
        <f t="shared" si="11"/>
        <v>0.5</v>
      </c>
      <c r="F108" s="4">
        <v>6000</v>
      </c>
      <c r="G108" s="4">
        <f t="shared" si="8"/>
        <v>3000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>
        <v>0.5</v>
      </c>
      <c r="D109" s="3"/>
      <c r="E109" s="3">
        <f t="shared" si="11"/>
        <v>0.5</v>
      </c>
      <c r="F109" s="4">
        <v>8000</v>
      </c>
      <c r="G109" s="4">
        <f t="shared" si="8"/>
        <v>4000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5</v>
      </c>
      <c r="E111" s="3">
        <f t="shared" si="11"/>
        <v>9</v>
      </c>
      <c r="F111" s="4">
        <v>4000</v>
      </c>
      <c r="G111" s="4">
        <f t="shared" si="8"/>
        <v>36000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>
        <v>3</v>
      </c>
      <c r="D112" s="3"/>
      <c r="E112" s="3">
        <f t="shared" si="11"/>
        <v>3</v>
      </c>
      <c r="F112" s="4">
        <v>24000</v>
      </c>
      <c r="G112" s="4">
        <f t="shared" si="8"/>
        <v>72000</v>
      </c>
      <c r="H112" s="3"/>
      <c r="I112" s="4">
        <f t="shared" si="9"/>
        <v>24000</v>
      </c>
      <c r="J112" s="4">
        <f t="shared" si="10"/>
        <v>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545620</v>
      </c>
      <c r="H121" s="5"/>
      <c r="I121" s="5"/>
      <c r="J121" s="5">
        <f>SUM(J89:J120)</f>
        <v>308890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1139765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5DCC-4BA4-4FD6-B775-3226716F7A8B}">
  <dimension ref="A1:M268"/>
  <sheetViews>
    <sheetView topLeftCell="A94" workbookViewId="0">
      <selection activeCell="D14" sqref="D14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0.18</v>
      </c>
      <c r="D3" s="3">
        <v>0.5</v>
      </c>
      <c r="E3" s="3">
        <f t="shared" ref="E3:E66" si="0">C3+D3</f>
        <v>0.67999999999999994</v>
      </c>
      <c r="F3" s="4">
        <v>36000</v>
      </c>
      <c r="G3" s="4">
        <f>F3*E3</f>
        <v>24479.999999999996</v>
      </c>
      <c r="H3" s="3">
        <v>0.2</v>
      </c>
      <c r="I3" s="4">
        <f>F3</f>
        <v>36000</v>
      </c>
      <c r="J3" s="4">
        <f>I3*H3</f>
        <v>7200</v>
      </c>
    </row>
    <row r="4" spans="1:13" x14ac:dyDescent="0.25">
      <c r="A4" s="3">
        <v>2</v>
      </c>
      <c r="B4" t="s">
        <v>10</v>
      </c>
      <c r="C4" s="3"/>
      <c r="D4" s="3">
        <v>0.25</v>
      </c>
      <c r="E4" s="3">
        <f t="shared" si="0"/>
        <v>0.25</v>
      </c>
      <c r="F4" s="4">
        <v>36000</v>
      </c>
      <c r="G4" s="4">
        <f t="shared" ref="G4:G73" si="1">F4*E4</f>
        <v>9000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>
        <v>0.16</v>
      </c>
      <c r="D6" s="3"/>
      <c r="E6" s="3">
        <f t="shared" si="0"/>
        <v>0.16</v>
      </c>
      <c r="F6" s="4">
        <v>60000</v>
      </c>
      <c r="G6" s="4">
        <f t="shared" si="1"/>
        <v>9600</v>
      </c>
      <c r="H6" s="3"/>
      <c r="I6" s="4">
        <f t="shared" si="2"/>
        <v>60000</v>
      </c>
      <c r="J6" s="4">
        <f t="shared" si="3"/>
        <v>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0.25</v>
      </c>
      <c r="E8" s="3">
        <f t="shared" si="0"/>
        <v>0.25</v>
      </c>
      <c r="F8" s="4">
        <v>50000</v>
      </c>
      <c r="G8" s="4">
        <f t="shared" si="1"/>
        <v>12500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>
        <v>1.25</v>
      </c>
      <c r="D9" s="3"/>
      <c r="E9" s="3">
        <f t="shared" si="0"/>
        <v>1.25</v>
      </c>
      <c r="F9" s="4">
        <v>13000</v>
      </c>
      <c r="G9" s="4">
        <f t="shared" si="1"/>
        <v>16250</v>
      </c>
      <c r="H9" s="3"/>
      <c r="I9" s="4">
        <f t="shared" si="2"/>
        <v>13000</v>
      </c>
      <c r="J9" s="4">
        <f t="shared" si="3"/>
        <v>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1.2</v>
      </c>
      <c r="D19" s="3"/>
      <c r="E19" s="3">
        <f t="shared" si="0"/>
        <v>1.2</v>
      </c>
      <c r="F19" s="4">
        <v>20000</v>
      </c>
      <c r="G19" s="4">
        <f t="shared" si="1"/>
        <v>24000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>
        <v>1.5</v>
      </c>
      <c r="D20" s="3">
        <v>2</v>
      </c>
      <c r="E20" s="3">
        <f t="shared" si="0"/>
        <v>3.5</v>
      </c>
      <c r="F20" s="4">
        <v>11000</v>
      </c>
      <c r="G20" s="4">
        <f t="shared" si="1"/>
        <v>38500</v>
      </c>
      <c r="H20" s="3">
        <v>2.2999999999999998</v>
      </c>
      <c r="I20" s="4">
        <f t="shared" si="2"/>
        <v>11000</v>
      </c>
      <c r="J20" s="4">
        <f t="shared" si="3"/>
        <v>25299.999999999996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0.13</v>
      </c>
      <c r="D22" s="3"/>
      <c r="E22" s="3">
        <f t="shared" si="0"/>
        <v>0.13</v>
      </c>
      <c r="F22" s="4">
        <v>15000</v>
      </c>
      <c r="G22" s="4">
        <f t="shared" si="1"/>
        <v>1950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2.5</v>
      </c>
      <c r="D23" s="3">
        <v>2</v>
      </c>
      <c r="E23" s="3">
        <f t="shared" si="0"/>
        <v>4.5</v>
      </c>
      <c r="F23" s="4">
        <v>8000</v>
      </c>
      <c r="G23" s="4">
        <f>F23*E23</f>
        <v>36000</v>
      </c>
      <c r="H23" s="3">
        <v>2.2999999999999998</v>
      </c>
      <c r="I23" s="4">
        <f t="shared" si="2"/>
        <v>8000</v>
      </c>
      <c r="J23" s="4">
        <f t="shared" si="3"/>
        <v>18400</v>
      </c>
    </row>
    <row r="24" spans="1:10" x14ac:dyDescent="0.25">
      <c r="A24" s="3">
        <v>22</v>
      </c>
      <c r="B24" t="s">
        <v>29</v>
      </c>
      <c r="C24" s="3">
        <v>0.04</v>
      </c>
      <c r="D24" s="3">
        <v>0.5</v>
      </c>
      <c r="E24" s="3">
        <f t="shared" si="0"/>
        <v>0.54</v>
      </c>
      <c r="F24" s="4">
        <v>8000</v>
      </c>
      <c r="G24" s="4">
        <f t="shared" si="1"/>
        <v>4320</v>
      </c>
      <c r="H24" s="3">
        <v>0.37</v>
      </c>
      <c r="I24" s="4">
        <f t="shared" si="2"/>
        <v>8000</v>
      </c>
      <c r="J24" s="4">
        <f t="shared" si="3"/>
        <v>2960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1.3</v>
      </c>
      <c r="D26" s="3"/>
      <c r="E26" s="3">
        <f t="shared" si="0"/>
        <v>1.3</v>
      </c>
      <c r="F26" s="4">
        <v>11500</v>
      </c>
      <c r="G26" s="4">
        <f t="shared" si="1"/>
        <v>14950</v>
      </c>
      <c r="H26" s="3">
        <v>0.73</v>
      </c>
      <c r="I26" s="4">
        <f t="shared" si="2"/>
        <v>11500</v>
      </c>
      <c r="J26" s="4">
        <f t="shared" si="3"/>
        <v>8395</v>
      </c>
    </row>
    <row r="27" spans="1:10" x14ac:dyDescent="0.25">
      <c r="A27" s="3">
        <v>25</v>
      </c>
      <c r="B27" t="s">
        <v>32</v>
      </c>
      <c r="C27" s="3">
        <v>0.5</v>
      </c>
      <c r="D27" s="3"/>
      <c r="E27" s="3">
        <f t="shared" si="0"/>
        <v>0.5</v>
      </c>
      <c r="F27" s="4">
        <v>8500</v>
      </c>
      <c r="G27" s="4">
        <f t="shared" si="1"/>
        <v>4250</v>
      </c>
      <c r="H27" s="3">
        <v>0.16</v>
      </c>
      <c r="I27" s="4">
        <f t="shared" si="2"/>
        <v>8500</v>
      </c>
      <c r="J27" s="4">
        <f t="shared" si="3"/>
        <v>1360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0.25</v>
      </c>
      <c r="D29" s="3"/>
      <c r="E29" s="3">
        <f t="shared" si="0"/>
        <v>0.25</v>
      </c>
      <c r="F29" s="4">
        <v>24000</v>
      </c>
      <c r="G29" s="4">
        <f t="shared" si="1"/>
        <v>6000</v>
      </c>
      <c r="H29" s="3"/>
      <c r="I29" s="4">
        <f t="shared" si="2"/>
        <v>24000</v>
      </c>
      <c r="J29" s="4">
        <f t="shared" si="3"/>
        <v>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3</v>
      </c>
      <c r="D34" s="3">
        <v>3</v>
      </c>
      <c r="E34" s="3">
        <f t="shared" si="0"/>
        <v>6</v>
      </c>
      <c r="F34" s="4">
        <v>17500</v>
      </c>
      <c r="G34" s="4">
        <f t="shared" si="1"/>
        <v>105000</v>
      </c>
      <c r="H34" s="3">
        <v>1</v>
      </c>
      <c r="I34" s="4">
        <f t="shared" si="2"/>
        <v>17500</v>
      </c>
      <c r="J34" s="4">
        <f t="shared" si="3"/>
        <v>17500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2</v>
      </c>
      <c r="D41" s="3">
        <v>1</v>
      </c>
      <c r="E41" s="3">
        <f t="shared" si="0"/>
        <v>3</v>
      </c>
      <c r="F41" s="4">
        <v>83000</v>
      </c>
      <c r="G41" s="4">
        <f t="shared" si="1"/>
        <v>249000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/>
      <c r="D42" s="3">
        <v>5</v>
      </c>
      <c r="E42" s="3">
        <f t="shared" si="0"/>
        <v>5</v>
      </c>
      <c r="F42" s="4">
        <v>21000</v>
      </c>
      <c r="G42" s="4">
        <f t="shared" si="1"/>
        <v>105000</v>
      </c>
      <c r="H42" s="3">
        <v>2</v>
      </c>
      <c r="I42" s="4">
        <f t="shared" si="2"/>
        <v>21000</v>
      </c>
      <c r="J42" s="4">
        <f t="shared" si="3"/>
        <v>42000</v>
      </c>
    </row>
    <row r="43" spans="1:10" x14ac:dyDescent="0.25">
      <c r="A43" s="3">
        <v>41</v>
      </c>
      <c r="B43" t="s">
        <v>48</v>
      </c>
      <c r="C43" s="3">
        <v>2.25</v>
      </c>
      <c r="D43" s="3">
        <v>10</v>
      </c>
      <c r="E43" s="3">
        <f t="shared" si="0"/>
        <v>12.25</v>
      </c>
      <c r="F43" s="4">
        <v>25000</v>
      </c>
      <c r="G43" s="4">
        <f t="shared" si="1"/>
        <v>306250</v>
      </c>
      <c r="H43" s="3">
        <v>10.5</v>
      </c>
      <c r="I43" s="4">
        <f t="shared" si="2"/>
        <v>25000</v>
      </c>
      <c r="J43" s="4">
        <f t="shared" si="3"/>
        <v>262500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>
        <v>3</v>
      </c>
      <c r="E45" s="3">
        <f t="shared" si="0"/>
        <v>5</v>
      </c>
      <c r="F45" s="4">
        <v>15500</v>
      </c>
      <c r="G45" s="4">
        <f t="shared" si="1"/>
        <v>77500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3</v>
      </c>
      <c r="D49" s="3">
        <v>20</v>
      </c>
      <c r="E49" s="3">
        <f t="shared" si="0"/>
        <v>23</v>
      </c>
      <c r="F49" s="4">
        <v>6000</v>
      </c>
      <c r="G49" s="4">
        <f t="shared" si="1"/>
        <v>138000</v>
      </c>
      <c r="H49" s="3">
        <v>21</v>
      </c>
      <c r="I49" s="4">
        <f t="shared" si="2"/>
        <v>6000</v>
      </c>
      <c r="J49" s="4">
        <f t="shared" si="3"/>
        <v>126000</v>
      </c>
    </row>
    <row r="50" spans="1:10" x14ac:dyDescent="0.25">
      <c r="A50" s="3">
        <v>48</v>
      </c>
      <c r="B50" t="s">
        <v>55</v>
      </c>
      <c r="C50" s="3">
        <v>23</v>
      </c>
      <c r="D50" s="3"/>
      <c r="E50" s="3">
        <f t="shared" si="0"/>
        <v>23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2</v>
      </c>
      <c r="D51" s="3"/>
      <c r="E51" s="3">
        <f t="shared" si="0"/>
        <v>2</v>
      </c>
      <c r="F51" s="4">
        <v>12000</v>
      </c>
      <c r="G51" s="4">
        <f>F51*E51</f>
        <v>24000</v>
      </c>
      <c r="H51" s="3"/>
      <c r="I51" s="4">
        <f t="shared" si="2"/>
        <v>12000</v>
      </c>
      <c r="J51" s="4">
        <f t="shared" si="3"/>
        <v>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</v>
      </c>
      <c r="D61" s="3">
        <v>21</v>
      </c>
      <c r="E61" s="3">
        <f t="shared" si="0"/>
        <v>22</v>
      </c>
      <c r="F61" s="4">
        <v>5700</v>
      </c>
      <c r="G61" s="4">
        <f t="shared" si="1"/>
        <v>125400</v>
      </c>
      <c r="H61" s="3">
        <v>11</v>
      </c>
      <c r="I61" s="4">
        <f t="shared" si="2"/>
        <v>5700</v>
      </c>
      <c r="J61" s="4">
        <f t="shared" si="3"/>
        <v>62700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>
        <v>1</v>
      </c>
      <c r="E63" s="3">
        <f t="shared" si="0"/>
        <v>1</v>
      </c>
      <c r="F63" s="4">
        <v>39000</v>
      </c>
      <c r="G63" s="4">
        <f t="shared" si="1"/>
        <v>39000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13</v>
      </c>
      <c r="D64" s="3"/>
      <c r="E64" s="3">
        <f t="shared" si="0"/>
        <v>13</v>
      </c>
      <c r="F64" s="4">
        <v>4875</v>
      </c>
      <c r="G64" s="4">
        <f t="shared" si="1"/>
        <v>63375</v>
      </c>
      <c r="H64" s="3">
        <v>6</v>
      </c>
      <c r="I64" s="4">
        <f t="shared" si="2"/>
        <v>4875</v>
      </c>
      <c r="J64" s="4">
        <f t="shared" si="3"/>
        <v>29250</v>
      </c>
    </row>
    <row r="65" spans="1:10" x14ac:dyDescent="0.25">
      <c r="A65" s="3">
        <v>63</v>
      </c>
      <c r="B65" t="s">
        <v>70</v>
      </c>
      <c r="C65" s="3">
        <v>4.25</v>
      </c>
      <c r="D65" s="3">
        <v>10</v>
      </c>
      <c r="E65" s="3">
        <f t="shared" si="0"/>
        <v>14.25</v>
      </c>
      <c r="F65" s="4">
        <v>21000</v>
      </c>
      <c r="G65" s="4">
        <f t="shared" si="1"/>
        <v>299250</v>
      </c>
      <c r="H65" s="3">
        <v>14.25</v>
      </c>
      <c r="I65" s="4">
        <f t="shared" si="2"/>
        <v>21000</v>
      </c>
      <c r="J65" s="4">
        <f t="shared" si="3"/>
        <v>299250</v>
      </c>
    </row>
    <row r="66" spans="1:10" x14ac:dyDescent="0.25">
      <c r="A66" s="3">
        <v>64</v>
      </c>
      <c r="B66" t="s">
        <v>115</v>
      </c>
      <c r="C66" s="3">
        <v>0.35</v>
      </c>
      <c r="D66" s="3"/>
      <c r="E66" s="3">
        <f t="shared" si="0"/>
        <v>0.35</v>
      </c>
      <c r="F66" s="4">
        <v>100000</v>
      </c>
      <c r="G66" s="4">
        <f t="shared" si="1"/>
        <v>35000</v>
      </c>
      <c r="H66" s="3">
        <v>0.11</v>
      </c>
      <c r="I66" s="4">
        <f t="shared" si="2"/>
        <v>100000</v>
      </c>
      <c r="J66" s="4">
        <f t="shared" si="3"/>
        <v>11000</v>
      </c>
    </row>
    <row r="67" spans="1:10" x14ac:dyDescent="0.25">
      <c r="A67" s="3">
        <v>65</v>
      </c>
      <c r="B67" t="s">
        <v>71</v>
      </c>
      <c r="C67" s="3">
        <v>1</v>
      </c>
      <c r="D67" s="3">
        <v>2</v>
      </c>
      <c r="E67" s="3">
        <f t="shared" ref="E67:E83" si="4">C67+D67</f>
        <v>3</v>
      </c>
      <c r="F67" s="4">
        <v>17500</v>
      </c>
      <c r="G67" s="4">
        <f t="shared" si="1"/>
        <v>52500</v>
      </c>
      <c r="H67" s="3">
        <v>1</v>
      </c>
      <c r="I67" s="4">
        <f t="shared" si="2"/>
        <v>17500</v>
      </c>
      <c r="J67" s="4">
        <f t="shared" si="3"/>
        <v>17500</v>
      </c>
    </row>
    <row r="68" spans="1:10" x14ac:dyDescent="0.25">
      <c r="A68" s="3">
        <v>66</v>
      </c>
      <c r="B68" t="s">
        <v>72</v>
      </c>
      <c r="C68" s="3">
        <v>4</v>
      </c>
      <c r="D68" s="3"/>
      <c r="E68" s="3">
        <f t="shared" si="4"/>
        <v>4</v>
      </c>
      <c r="F68" s="4">
        <v>8000</v>
      </c>
      <c r="G68" s="4">
        <f t="shared" si="1"/>
        <v>32000</v>
      </c>
      <c r="H68" s="3"/>
      <c r="I68" s="4">
        <f t="shared" si="2"/>
        <v>8000</v>
      </c>
      <c r="J68" s="4">
        <f t="shared" si="3"/>
        <v>0</v>
      </c>
    </row>
    <row r="69" spans="1:10" x14ac:dyDescent="0.25">
      <c r="A69" s="3">
        <v>67</v>
      </c>
      <c r="B69" t="s">
        <v>73</v>
      </c>
      <c r="C69" s="3"/>
      <c r="D69" s="3">
        <v>2</v>
      </c>
      <c r="E69" s="3">
        <f t="shared" si="4"/>
        <v>2</v>
      </c>
      <c r="F69" s="4"/>
      <c r="G69" s="4">
        <f t="shared" si="1"/>
        <v>0</v>
      </c>
      <c r="H69" s="3">
        <v>0.6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0.5</v>
      </c>
      <c r="D70" s="3">
        <v>1</v>
      </c>
      <c r="E70" s="3">
        <f t="shared" si="4"/>
        <v>1.5</v>
      </c>
      <c r="F70" s="4">
        <v>24000</v>
      </c>
      <c r="G70" s="4">
        <f t="shared" si="1"/>
        <v>36000</v>
      </c>
      <c r="H70" s="3">
        <v>1</v>
      </c>
      <c r="I70" s="4">
        <f t="shared" si="2"/>
        <v>24000</v>
      </c>
      <c r="J70" s="4">
        <f t="shared" si="5"/>
        <v>24000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>
        <v>1</v>
      </c>
      <c r="E72" s="3">
        <f t="shared" si="4"/>
        <v>3</v>
      </c>
      <c r="F72" s="4">
        <v>15000</v>
      </c>
      <c r="G72" s="4">
        <f>F72*E72</f>
        <v>45000</v>
      </c>
      <c r="H72" s="3">
        <v>1</v>
      </c>
      <c r="I72" s="4">
        <f t="shared" si="2"/>
        <v>15000</v>
      </c>
      <c r="J72" s="4">
        <f t="shared" si="5"/>
        <v>15000</v>
      </c>
    </row>
    <row r="73" spans="1:10" x14ac:dyDescent="0.25">
      <c r="A73" s="3">
        <v>71</v>
      </c>
      <c r="B73" t="s">
        <v>109</v>
      </c>
      <c r="C73" s="3"/>
      <c r="D73" s="3">
        <v>18</v>
      </c>
      <c r="E73" s="3">
        <f t="shared" si="4"/>
        <v>18</v>
      </c>
      <c r="F73" s="4"/>
      <c r="G73" s="4">
        <f t="shared" si="1"/>
        <v>0</v>
      </c>
      <c r="H73" s="3">
        <v>17</v>
      </c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15</v>
      </c>
      <c r="D74" s="3"/>
      <c r="E74" s="3">
        <f t="shared" si="4"/>
        <v>15</v>
      </c>
      <c r="F74" s="4"/>
      <c r="G74" s="4">
        <f t="shared" ref="G74:G83" si="6">F74*E74</f>
        <v>0</v>
      </c>
      <c r="H74" s="3">
        <v>15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17</v>
      </c>
      <c r="D75" s="3"/>
      <c r="E75" s="3">
        <f t="shared" si="4"/>
        <v>17</v>
      </c>
      <c r="F75" s="4"/>
      <c r="G75" s="4">
        <f t="shared" si="6"/>
        <v>0</v>
      </c>
      <c r="H75" s="3">
        <v>12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16</v>
      </c>
      <c r="D76" s="3"/>
      <c r="E76" s="3">
        <f t="shared" si="4"/>
        <v>16</v>
      </c>
      <c r="F76" s="4">
        <v>4875</v>
      </c>
      <c r="G76" s="4">
        <f t="shared" si="6"/>
        <v>78000</v>
      </c>
      <c r="H76" s="3">
        <v>15</v>
      </c>
      <c r="I76" s="4">
        <f t="shared" si="7"/>
        <v>4875</v>
      </c>
      <c r="J76" s="4">
        <f t="shared" si="5"/>
        <v>73125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2022075</v>
      </c>
      <c r="H85" s="5"/>
      <c r="I85" s="5"/>
      <c r="J85" s="5">
        <f>SUM(J3:J84)</f>
        <v>1157440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41</v>
      </c>
      <c r="D89" s="3"/>
      <c r="E89" s="3">
        <f>C89+D89</f>
        <v>41</v>
      </c>
      <c r="F89" s="4">
        <v>1240</v>
      </c>
      <c r="G89" s="4">
        <f>F89*E89</f>
        <v>50840</v>
      </c>
      <c r="H89" s="3">
        <v>37</v>
      </c>
      <c r="I89" s="4">
        <f>F89</f>
        <v>1240</v>
      </c>
      <c r="J89" s="4">
        <f>I89*H89</f>
        <v>45880</v>
      </c>
    </row>
    <row r="90" spans="1:10" x14ac:dyDescent="0.25">
      <c r="A90" s="3">
        <v>2</v>
      </c>
      <c r="B90" t="s">
        <v>85</v>
      </c>
      <c r="C90" s="3">
        <v>20</v>
      </c>
      <c r="D90" s="3"/>
      <c r="E90" s="3">
        <f>C90+D90</f>
        <v>20</v>
      </c>
      <c r="F90" s="4">
        <v>1000</v>
      </c>
      <c r="G90" s="4">
        <f t="shared" ref="G90:G120" si="8">F90*E90</f>
        <v>20000</v>
      </c>
      <c r="H90" s="3">
        <v>12</v>
      </c>
      <c r="I90" s="4">
        <f t="shared" ref="I90:I120" si="9">F90</f>
        <v>1000</v>
      </c>
      <c r="J90" s="4">
        <f t="shared" ref="J90:J120" si="10">I90*H90</f>
        <v>12000</v>
      </c>
    </row>
    <row r="91" spans="1:10" x14ac:dyDescent="0.25">
      <c r="A91" s="3">
        <v>3</v>
      </c>
      <c r="B91" t="s">
        <v>86</v>
      </c>
      <c r="C91" s="3">
        <v>11</v>
      </c>
      <c r="D91" s="3"/>
      <c r="E91" s="3">
        <f t="shared" ref="E91:E120" si="11">C91+D91</f>
        <v>11</v>
      </c>
      <c r="F91" s="4">
        <v>1650</v>
      </c>
      <c r="G91" s="4">
        <f t="shared" si="8"/>
        <v>18150</v>
      </c>
      <c r="H91" s="3">
        <v>5</v>
      </c>
      <c r="I91" s="4">
        <f t="shared" si="9"/>
        <v>1650</v>
      </c>
      <c r="J91" s="4">
        <f t="shared" si="10"/>
        <v>8250</v>
      </c>
    </row>
    <row r="92" spans="1:10" x14ac:dyDescent="0.25">
      <c r="A92" s="3">
        <v>4</v>
      </c>
      <c r="B92" t="s">
        <v>87</v>
      </c>
      <c r="C92" s="3">
        <v>12</v>
      </c>
      <c r="D92" s="3"/>
      <c r="E92" s="3">
        <f t="shared" si="11"/>
        <v>12</v>
      </c>
      <c r="F92" s="4">
        <v>1650</v>
      </c>
      <c r="G92" s="4">
        <f t="shared" si="8"/>
        <v>19800</v>
      </c>
      <c r="H92" s="3">
        <v>5</v>
      </c>
      <c r="I92" s="4">
        <f t="shared" si="9"/>
        <v>1650</v>
      </c>
      <c r="J92" s="4">
        <f t="shared" si="10"/>
        <v>8250</v>
      </c>
    </row>
    <row r="93" spans="1:10" x14ac:dyDescent="0.25">
      <c r="A93" s="3">
        <v>5</v>
      </c>
      <c r="B93" t="s">
        <v>88</v>
      </c>
      <c r="C93" s="3">
        <v>7</v>
      </c>
      <c r="D93" s="3"/>
      <c r="E93" s="3">
        <f t="shared" si="11"/>
        <v>7</v>
      </c>
      <c r="F93" s="4">
        <v>1750</v>
      </c>
      <c r="G93" s="4">
        <f t="shared" si="8"/>
        <v>12250</v>
      </c>
      <c r="H93" s="3">
        <v>3</v>
      </c>
      <c r="I93" s="4">
        <f t="shared" si="9"/>
        <v>1750</v>
      </c>
      <c r="J93" s="4">
        <f t="shared" si="10"/>
        <v>5250</v>
      </c>
    </row>
    <row r="94" spans="1:10" x14ac:dyDescent="0.25">
      <c r="A94" s="3">
        <v>6</v>
      </c>
      <c r="B94" t="s">
        <v>89</v>
      </c>
      <c r="C94" s="3">
        <v>4</v>
      </c>
      <c r="D94" s="3">
        <v>12</v>
      </c>
      <c r="E94" s="3">
        <f t="shared" si="11"/>
        <v>16</v>
      </c>
      <c r="F94" s="4">
        <v>1500</v>
      </c>
      <c r="G94" s="4">
        <f t="shared" si="8"/>
        <v>24000</v>
      </c>
      <c r="H94" s="3">
        <v>10</v>
      </c>
      <c r="I94" s="4">
        <f t="shared" si="9"/>
        <v>1500</v>
      </c>
      <c r="J94" s="4">
        <f t="shared" si="10"/>
        <v>15000</v>
      </c>
    </row>
    <row r="95" spans="1:10" x14ac:dyDescent="0.25">
      <c r="A95" s="3">
        <v>7</v>
      </c>
      <c r="B95" t="s">
        <v>90</v>
      </c>
      <c r="C95" s="3">
        <v>10</v>
      </c>
      <c r="D95" s="3"/>
      <c r="E95" s="3">
        <f t="shared" si="11"/>
        <v>10</v>
      </c>
      <c r="F95" s="4">
        <v>1500</v>
      </c>
      <c r="G95" s="4">
        <f t="shared" si="8"/>
        <v>15000</v>
      </c>
      <c r="H95" s="3">
        <v>9</v>
      </c>
      <c r="I95" s="4">
        <f t="shared" si="9"/>
        <v>1500</v>
      </c>
      <c r="J95" s="4">
        <f t="shared" si="10"/>
        <v>13500</v>
      </c>
    </row>
    <row r="96" spans="1:10" x14ac:dyDescent="0.25">
      <c r="A96" s="3">
        <v>8</v>
      </c>
      <c r="B96" t="s">
        <v>91</v>
      </c>
      <c r="C96" s="3">
        <v>5</v>
      </c>
      <c r="D96" s="3"/>
      <c r="E96" s="3">
        <f t="shared" si="11"/>
        <v>5</v>
      </c>
      <c r="F96" s="4">
        <v>3350</v>
      </c>
      <c r="G96" s="4">
        <f t="shared" si="8"/>
        <v>16750</v>
      </c>
      <c r="H96" s="3">
        <v>2</v>
      </c>
      <c r="I96" s="4">
        <f t="shared" si="9"/>
        <v>3350</v>
      </c>
      <c r="J96" s="4">
        <f t="shared" si="10"/>
        <v>6700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4</v>
      </c>
      <c r="D98" s="3"/>
      <c r="E98" s="3">
        <f t="shared" si="11"/>
        <v>4</v>
      </c>
      <c r="F98" s="4">
        <v>9000</v>
      </c>
      <c r="G98" s="4">
        <f t="shared" si="8"/>
        <v>36000</v>
      </c>
      <c r="H98" s="3">
        <v>2</v>
      </c>
      <c r="I98" s="4">
        <f t="shared" si="9"/>
        <v>9000</v>
      </c>
      <c r="J98" s="4">
        <f t="shared" si="10"/>
        <v>18000</v>
      </c>
    </row>
    <row r="99" spans="1:10" x14ac:dyDescent="0.25">
      <c r="A99" s="3">
        <v>11</v>
      </c>
      <c r="B99" t="s">
        <v>94</v>
      </c>
      <c r="C99" s="3">
        <v>2</v>
      </c>
      <c r="D99" s="3"/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5</v>
      </c>
      <c r="D100" s="3">
        <v>5</v>
      </c>
      <c r="E100" s="3">
        <f t="shared" si="11"/>
        <v>10</v>
      </c>
      <c r="F100" s="4">
        <v>8000</v>
      </c>
      <c r="G100" s="4">
        <f t="shared" si="8"/>
        <v>80000</v>
      </c>
      <c r="H100" s="3">
        <v>4</v>
      </c>
      <c r="I100" s="4">
        <f t="shared" si="9"/>
        <v>8000</v>
      </c>
      <c r="J100" s="4">
        <f t="shared" si="10"/>
        <v>32000</v>
      </c>
    </row>
    <row r="101" spans="1:10" x14ac:dyDescent="0.25">
      <c r="A101" s="3">
        <v>13</v>
      </c>
      <c r="B101" t="s">
        <v>96</v>
      </c>
      <c r="C101" s="3">
        <v>7</v>
      </c>
      <c r="D101" s="3"/>
      <c r="E101" s="3">
        <f t="shared" si="11"/>
        <v>7</v>
      </c>
      <c r="F101" s="4">
        <v>3300</v>
      </c>
      <c r="G101" s="4">
        <f t="shared" si="8"/>
        <v>23100</v>
      </c>
      <c r="H101" s="3"/>
      <c r="I101" s="4">
        <f t="shared" si="9"/>
        <v>3300</v>
      </c>
      <c r="J101" s="4">
        <f t="shared" si="10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8</v>
      </c>
      <c r="E111" s="3">
        <f t="shared" si="11"/>
        <v>12</v>
      </c>
      <c r="F111" s="4">
        <v>4000</v>
      </c>
      <c r="G111" s="4">
        <f t="shared" si="8"/>
        <v>48000</v>
      </c>
      <c r="H111" s="3">
        <v>7</v>
      </c>
      <c r="I111" s="4">
        <f t="shared" si="9"/>
        <v>4000</v>
      </c>
      <c r="J111" s="4">
        <f t="shared" si="10"/>
        <v>28000</v>
      </c>
    </row>
    <row r="112" spans="1:10" x14ac:dyDescent="0.25">
      <c r="A112" s="3">
        <v>24</v>
      </c>
      <c r="B112" t="s">
        <v>107</v>
      </c>
      <c r="C112" s="3"/>
      <c r="D112" s="3">
        <v>4</v>
      </c>
      <c r="E112" s="3">
        <f t="shared" si="11"/>
        <v>4</v>
      </c>
      <c r="F112" s="4">
        <v>24000</v>
      </c>
      <c r="G112" s="4">
        <f t="shared" si="8"/>
        <v>96000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517890</v>
      </c>
      <c r="H121" s="5"/>
      <c r="I121" s="5"/>
      <c r="J121" s="5">
        <f>SUM(J89:J120)</f>
        <v>269830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1427270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1909-9329-434B-9D2F-6EFB7B74E3A3}">
  <dimension ref="A1:M268"/>
  <sheetViews>
    <sheetView topLeftCell="A109" workbookViewId="0">
      <selection activeCell="D16" sqref="D16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0.2</v>
      </c>
      <c r="D3" s="3">
        <v>0.5</v>
      </c>
      <c r="E3" s="3">
        <f t="shared" ref="E3:E66" si="0">C3+D3</f>
        <v>0.7</v>
      </c>
      <c r="F3" s="4">
        <v>36000</v>
      </c>
      <c r="G3" s="4">
        <f>F3*E3</f>
        <v>25200</v>
      </c>
      <c r="H3" s="3">
        <v>0.4</v>
      </c>
      <c r="I3" s="4">
        <f>F3</f>
        <v>36000</v>
      </c>
      <c r="J3" s="4">
        <f>I3*H3</f>
        <v>14400</v>
      </c>
    </row>
    <row r="4" spans="1:13" x14ac:dyDescent="0.25">
      <c r="A4" s="3">
        <v>2</v>
      </c>
      <c r="B4" t="s">
        <v>10</v>
      </c>
      <c r="C4" s="3"/>
      <c r="D4" s="3">
        <v>0.25</v>
      </c>
      <c r="E4" s="3">
        <f t="shared" si="0"/>
        <v>0.25</v>
      </c>
      <c r="F4" s="4">
        <v>36000</v>
      </c>
      <c r="G4" s="4">
        <f t="shared" ref="G4:G73" si="1">F4*E4</f>
        <v>9000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/>
      <c r="D6" s="3">
        <v>0.25</v>
      </c>
      <c r="E6" s="3">
        <f t="shared" si="0"/>
        <v>0.25</v>
      </c>
      <c r="F6" s="4">
        <v>60000</v>
      </c>
      <c r="G6" s="4">
        <f t="shared" si="1"/>
        <v>15000</v>
      </c>
      <c r="H6" s="3"/>
      <c r="I6" s="4">
        <f t="shared" si="2"/>
        <v>60000</v>
      </c>
      <c r="J6" s="4">
        <f t="shared" si="3"/>
        <v>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0.5</v>
      </c>
      <c r="E8" s="3">
        <f t="shared" si="0"/>
        <v>0.5</v>
      </c>
      <c r="F8" s="4">
        <v>50000</v>
      </c>
      <c r="G8" s="4">
        <f t="shared" si="1"/>
        <v>25000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/>
      <c r="I9" s="4">
        <f t="shared" si="2"/>
        <v>13000</v>
      </c>
      <c r="J9" s="4">
        <f t="shared" si="3"/>
        <v>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/>
      <c r="E19" s="3">
        <f t="shared" si="0"/>
        <v>0</v>
      </c>
      <c r="F19" s="4">
        <v>20000</v>
      </c>
      <c r="G19" s="4">
        <f t="shared" si="1"/>
        <v>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>
        <v>2.2999999999999998</v>
      </c>
      <c r="D20" s="3">
        <v>2</v>
      </c>
      <c r="E20" s="3">
        <f t="shared" si="0"/>
        <v>4.3</v>
      </c>
      <c r="F20" s="4">
        <v>11000</v>
      </c>
      <c r="G20" s="4">
        <f t="shared" si="1"/>
        <v>47300</v>
      </c>
      <c r="H20" s="3">
        <v>1</v>
      </c>
      <c r="I20" s="4">
        <f t="shared" si="2"/>
        <v>11000</v>
      </c>
      <c r="J20" s="4">
        <f t="shared" si="3"/>
        <v>11000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2.2999999999999998</v>
      </c>
      <c r="D23" s="3">
        <v>5</v>
      </c>
      <c r="E23" s="3">
        <f t="shared" si="0"/>
        <v>7.3</v>
      </c>
      <c r="F23" s="4">
        <v>8000</v>
      </c>
      <c r="G23" s="4">
        <f>F23*E23</f>
        <v>58400</v>
      </c>
      <c r="H23" s="3">
        <v>2.9</v>
      </c>
      <c r="I23" s="4">
        <f t="shared" si="2"/>
        <v>8000</v>
      </c>
      <c r="J23" s="4">
        <f t="shared" si="3"/>
        <v>23200</v>
      </c>
    </row>
    <row r="24" spans="1:10" x14ac:dyDescent="0.25">
      <c r="A24" s="3">
        <v>22</v>
      </c>
      <c r="B24" t="s">
        <v>29</v>
      </c>
      <c r="C24" s="3">
        <v>0.37</v>
      </c>
      <c r="D24" s="3"/>
      <c r="E24" s="3">
        <f t="shared" si="0"/>
        <v>0.37</v>
      </c>
      <c r="F24" s="4">
        <v>8000</v>
      </c>
      <c r="G24" s="4">
        <f t="shared" si="1"/>
        <v>2960</v>
      </c>
      <c r="H24" s="3">
        <v>0.14000000000000001</v>
      </c>
      <c r="I24" s="4">
        <f t="shared" si="2"/>
        <v>8000</v>
      </c>
      <c r="J24" s="4">
        <f t="shared" si="3"/>
        <v>1120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0.73</v>
      </c>
      <c r="D26" s="3">
        <v>1</v>
      </c>
      <c r="E26" s="3">
        <f t="shared" si="0"/>
        <v>1.73</v>
      </c>
      <c r="F26" s="4">
        <v>11500</v>
      </c>
      <c r="G26" s="4">
        <f t="shared" si="1"/>
        <v>19895</v>
      </c>
      <c r="H26" s="3">
        <v>0.38</v>
      </c>
      <c r="I26" s="4">
        <f t="shared" si="2"/>
        <v>11500</v>
      </c>
      <c r="J26" s="4">
        <f t="shared" si="3"/>
        <v>4370</v>
      </c>
    </row>
    <row r="27" spans="1:10" x14ac:dyDescent="0.25">
      <c r="A27" s="3">
        <v>25</v>
      </c>
      <c r="B27" t="s">
        <v>32</v>
      </c>
      <c r="C27" s="3">
        <v>0.16</v>
      </c>
      <c r="D27" s="3"/>
      <c r="E27" s="3">
        <f t="shared" si="0"/>
        <v>0.16</v>
      </c>
      <c r="F27" s="4">
        <v>8500</v>
      </c>
      <c r="G27" s="4">
        <f t="shared" si="1"/>
        <v>1360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/>
      <c r="D29" s="3">
        <v>0.25</v>
      </c>
      <c r="E29" s="3">
        <f t="shared" si="0"/>
        <v>0.25</v>
      </c>
      <c r="F29" s="4">
        <v>24000</v>
      </c>
      <c r="G29" s="4">
        <f t="shared" si="1"/>
        <v>6000</v>
      </c>
      <c r="H29" s="3">
        <v>0.18</v>
      </c>
      <c r="I29" s="4">
        <f t="shared" si="2"/>
        <v>24000</v>
      </c>
      <c r="J29" s="4">
        <f t="shared" si="3"/>
        <v>4320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1</v>
      </c>
      <c r="D34" s="3">
        <v>7</v>
      </c>
      <c r="E34" s="3">
        <f t="shared" si="0"/>
        <v>8</v>
      </c>
      <c r="F34" s="4">
        <v>17500</v>
      </c>
      <c r="G34" s="4">
        <f t="shared" si="1"/>
        <v>140000</v>
      </c>
      <c r="H34" s="3">
        <v>4</v>
      </c>
      <c r="I34" s="4">
        <f t="shared" si="2"/>
        <v>17500</v>
      </c>
      <c r="J34" s="4">
        <f t="shared" si="3"/>
        <v>70000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3</v>
      </c>
      <c r="E41" s="3">
        <f t="shared" si="0"/>
        <v>4</v>
      </c>
      <c r="F41" s="4">
        <v>83000</v>
      </c>
      <c r="G41" s="4">
        <f t="shared" si="1"/>
        <v>332000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2</v>
      </c>
      <c r="D42" s="3">
        <v>3</v>
      </c>
      <c r="E42" s="3">
        <f t="shared" si="0"/>
        <v>5</v>
      </c>
      <c r="F42" s="4">
        <v>21000</v>
      </c>
      <c r="G42" s="4">
        <f t="shared" si="1"/>
        <v>105000</v>
      </c>
      <c r="H42" s="3">
        <v>2</v>
      </c>
      <c r="I42" s="4">
        <f t="shared" si="2"/>
        <v>21000</v>
      </c>
      <c r="J42" s="4">
        <f t="shared" si="3"/>
        <v>42000</v>
      </c>
    </row>
    <row r="43" spans="1:10" x14ac:dyDescent="0.25">
      <c r="A43" s="3">
        <v>41</v>
      </c>
      <c r="B43" t="s">
        <v>48</v>
      </c>
      <c r="C43" s="3">
        <v>10.5</v>
      </c>
      <c r="D43" s="3"/>
      <c r="E43" s="3">
        <f t="shared" si="0"/>
        <v>10.5</v>
      </c>
      <c r="F43" s="4">
        <v>25000</v>
      </c>
      <c r="G43" s="4">
        <f t="shared" si="1"/>
        <v>262500</v>
      </c>
      <c r="H43" s="3">
        <v>6</v>
      </c>
      <c r="I43" s="4">
        <f t="shared" si="2"/>
        <v>25000</v>
      </c>
      <c r="J43" s="4">
        <f t="shared" si="3"/>
        <v>150000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>
        <v>3</v>
      </c>
      <c r="E45" s="3">
        <f t="shared" si="0"/>
        <v>5</v>
      </c>
      <c r="F45" s="4">
        <v>15500</v>
      </c>
      <c r="G45" s="4">
        <f t="shared" si="1"/>
        <v>77500</v>
      </c>
      <c r="H45" s="3"/>
      <c r="I45" s="4">
        <f t="shared" si="2"/>
        <v>15500</v>
      </c>
      <c r="J45" s="4">
        <f t="shared" si="3"/>
        <v>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21</v>
      </c>
      <c r="D49" s="3"/>
      <c r="E49" s="3">
        <f t="shared" si="0"/>
        <v>21</v>
      </c>
      <c r="F49" s="4">
        <v>6000</v>
      </c>
      <c r="G49" s="4">
        <f t="shared" si="1"/>
        <v>126000</v>
      </c>
      <c r="H49" s="3">
        <v>9</v>
      </c>
      <c r="I49" s="4">
        <f t="shared" si="2"/>
        <v>6000</v>
      </c>
      <c r="J49" s="4">
        <f t="shared" si="3"/>
        <v>54000</v>
      </c>
    </row>
    <row r="50" spans="1:10" x14ac:dyDescent="0.25">
      <c r="A50" s="3">
        <v>48</v>
      </c>
      <c r="B50" t="s">
        <v>55</v>
      </c>
      <c r="C50" s="3"/>
      <c r="D50" s="3"/>
      <c r="E50" s="3">
        <f t="shared" si="0"/>
        <v>0</v>
      </c>
      <c r="F50" s="4"/>
      <c r="G50" s="4">
        <f t="shared" si="1"/>
        <v>0</v>
      </c>
      <c r="H50" s="3"/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/>
      <c r="D51" s="3">
        <v>3</v>
      </c>
      <c r="E51" s="3">
        <f t="shared" si="0"/>
        <v>3</v>
      </c>
      <c r="F51" s="4">
        <v>12000</v>
      </c>
      <c r="G51" s="4">
        <f>F51*E51</f>
        <v>36000</v>
      </c>
      <c r="H51" s="3"/>
      <c r="I51" s="4">
        <f t="shared" si="2"/>
        <v>12000</v>
      </c>
      <c r="J51" s="4">
        <f t="shared" si="3"/>
        <v>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11</v>
      </c>
      <c r="D61" s="3">
        <v>35</v>
      </c>
      <c r="E61" s="3">
        <f t="shared" si="0"/>
        <v>46</v>
      </c>
      <c r="F61" s="4">
        <v>5700</v>
      </c>
      <c r="G61" s="4">
        <f t="shared" si="1"/>
        <v>262200</v>
      </c>
      <c r="H61" s="3"/>
      <c r="I61" s="4">
        <f t="shared" si="2"/>
        <v>5700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6</v>
      </c>
      <c r="D64" s="3"/>
      <c r="E64" s="3">
        <f t="shared" si="0"/>
        <v>6</v>
      </c>
      <c r="F64" s="4">
        <v>4875</v>
      </c>
      <c r="G64" s="4">
        <f t="shared" si="1"/>
        <v>29250</v>
      </c>
      <c r="H64" s="3"/>
      <c r="I64" s="4">
        <f t="shared" si="2"/>
        <v>4875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>
        <v>14.25</v>
      </c>
      <c r="D65" s="3">
        <v>10</v>
      </c>
      <c r="E65" s="3">
        <f t="shared" si="0"/>
        <v>24.25</v>
      </c>
      <c r="F65" s="4">
        <v>21000</v>
      </c>
      <c r="G65" s="4">
        <f t="shared" si="1"/>
        <v>509250</v>
      </c>
      <c r="H65" s="3">
        <v>4</v>
      </c>
      <c r="I65" s="4">
        <f t="shared" si="2"/>
        <v>21000</v>
      </c>
      <c r="J65" s="4">
        <f t="shared" si="3"/>
        <v>84000</v>
      </c>
    </row>
    <row r="66" spans="1:10" x14ac:dyDescent="0.25">
      <c r="A66" s="3">
        <v>64</v>
      </c>
      <c r="B66" t="s">
        <v>115</v>
      </c>
      <c r="C66" s="3">
        <v>0.11</v>
      </c>
      <c r="D66" s="3">
        <v>1</v>
      </c>
      <c r="E66" s="3">
        <f t="shared" si="0"/>
        <v>1.1100000000000001</v>
      </c>
      <c r="F66" s="4">
        <v>100000</v>
      </c>
      <c r="G66" s="4">
        <f t="shared" si="1"/>
        <v>111000.00000000001</v>
      </c>
      <c r="H66" s="3">
        <v>0.48</v>
      </c>
      <c r="I66" s="4">
        <f t="shared" si="2"/>
        <v>100000</v>
      </c>
      <c r="J66" s="4">
        <f t="shared" si="3"/>
        <v>48000</v>
      </c>
    </row>
    <row r="67" spans="1:10" x14ac:dyDescent="0.25">
      <c r="A67" s="3">
        <v>65</v>
      </c>
      <c r="B67" t="s">
        <v>71</v>
      </c>
      <c r="C67" s="3">
        <v>1</v>
      </c>
      <c r="D67" s="3">
        <v>2</v>
      </c>
      <c r="E67" s="3">
        <f t="shared" ref="E67:E83" si="4">C67+D67</f>
        <v>3</v>
      </c>
      <c r="F67" s="4">
        <v>17500</v>
      </c>
      <c r="G67" s="4">
        <f t="shared" si="1"/>
        <v>52500</v>
      </c>
      <c r="H67" s="3">
        <v>0.78</v>
      </c>
      <c r="I67" s="4">
        <f t="shared" si="2"/>
        <v>17500</v>
      </c>
      <c r="J67" s="4">
        <f t="shared" si="3"/>
        <v>13650</v>
      </c>
    </row>
    <row r="68" spans="1:10" x14ac:dyDescent="0.25">
      <c r="A68" s="3">
        <v>66</v>
      </c>
      <c r="B68" t="s">
        <v>72</v>
      </c>
      <c r="C68" s="3"/>
      <c r="D68" s="3">
        <v>4</v>
      </c>
      <c r="E68" s="3">
        <f t="shared" si="4"/>
        <v>4</v>
      </c>
      <c r="F68" s="4">
        <v>8000</v>
      </c>
      <c r="G68" s="4">
        <f t="shared" si="1"/>
        <v>32000</v>
      </c>
      <c r="H68" s="3">
        <v>0.25</v>
      </c>
      <c r="I68" s="4">
        <f t="shared" si="2"/>
        <v>8000</v>
      </c>
      <c r="J68" s="4">
        <f t="shared" si="3"/>
        <v>2000</v>
      </c>
    </row>
    <row r="69" spans="1:10" x14ac:dyDescent="0.25">
      <c r="A69" s="3">
        <v>67</v>
      </c>
      <c r="B69" t="s">
        <v>73</v>
      </c>
      <c r="C69" s="3">
        <v>0.6</v>
      </c>
      <c r="D69" s="3">
        <v>2</v>
      </c>
      <c r="E69" s="3">
        <f t="shared" si="4"/>
        <v>2.6</v>
      </c>
      <c r="F69" s="4"/>
      <c r="G69" s="4">
        <f t="shared" si="1"/>
        <v>0</v>
      </c>
      <c r="H69" s="3">
        <v>0.62</v>
      </c>
      <c r="I69" s="4">
        <f t="shared" si="2"/>
        <v>0</v>
      </c>
      <c r="J69" s="4">
        <f t="shared" ref="J69:J83" si="5">I69*H69</f>
        <v>0</v>
      </c>
    </row>
    <row r="70" spans="1:10" x14ac:dyDescent="0.25">
      <c r="A70" s="3">
        <v>68</v>
      </c>
      <c r="B70" t="s">
        <v>74</v>
      </c>
      <c r="C70" s="3">
        <v>1</v>
      </c>
      <c r="D70" s="3"/>
      <c r="E70" s="3">
        <f t="shared" si="4"/>
        <v>1</v>
      </c>
      <c r="F70" s="4">
        <v>24000</v>
      </c>
      <c r="G70" s="4">
        <f t="shared" si="1"/>
        <v>24000</v>
      </c>
      <c r="H70" s="3"/>
      <c r="I70" s="4">
        <f t="shared" si="2"/>
        <v>24000</v>
      </c>
      <c r="J70" s="4">
        <f t="shared" si="5"/>
        <v>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>
        <v>2</v>
      </c>
      <c r="E72" s="3">
        <f t="shared" si="4"/>
        <v>3</v>
      </c>
      <c r="F72" s="4">
        <v>15000</v>
      </c>
      <c r="G72" s="4">
        <f>F72*E72</f>
        <v>45000</v>
      </c>
      <c r="H72" s="3">
        <v>1</v>
      </c>
      <c r="I72" s="4">
        <f t="shared" si="2"/>
        <v>15000</v>
      </c>
      <c r="J72" s="4">
        <f t="shared" si="5"/>
        <v>15000</v>
      </c>
    </row>
    <row r="73" spans="1:10" x14ac:dyDescent="0.25">
      <c r="A73" s="3">
        <v>71</v>
      </c>
      <c r="B73" t="s">
        <v>109</v>
      </c>
      <c r="C73" s="3">
        <v>17</v>
      </c>
      <c r="D73" s="3"/>
      <c r="E73" s="3">
        <f t="shared" si="4"/>
        <v>17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15</v>
      </c>
      <c r="D74" s="3"/>
      <c r="E74" s="3">
        <f t="shared" si="4"/>
        <v>15</v>
      </c>
      <c r="F74" s="4"/>
      <c r="G74" s="4">
        <f t="shared" ref="G74:G83" si="6">F74*E74</f>
        <v>0</v>
      </c>
      <c r="H74" s="3">
        <v>13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12</v>
      </c>
      <c r="D75" s="3"/>
      <c r="E75" s="3">
        <f t="shared" si="4"/>
        <v>12</v>
      </c>
      <c r="F75" s="4"/>
      <c r="G75" s="4">
        <f t="shared" si="6"/>
        <v>0</v>
      </c>
      <c r="H75" s="3">
        <v>6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15</v>
      </c>
      <c r="D76" s="3"/>
      <c r="E76" s="3">
        <f t="shared" si="4"/>
        <v>15</v>
      </c>
      <c r="F76" s="4">
        <v>4875</v>
      </c>
      <c r="G76" s="4">
        <f t="shared" si="6"/>
        <v>73125</v>
      </c>
      <c r="H76" s="3">
        <v>7</v>
      </c>
      <c r="I76" s="4">
        <f t="shared" si="7"/>
        <v>4875</v>
      </c>
      <c r="J76" s="4">
        <f t="shared" si="5"/>
        <v>34125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2450440</v>
      </c>
      <c r="H85" s="5"/>
      <c r="I85" s="5"/>
      <c r="J85" s="5">
        <f>SUM(J3:J84)</f>
        <v>654185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37</v>
      </c>
      <c r="D89" s="3"/>
      <c r="E89" s="3">
        <f>C89+D89</f>
        <v>37</v>
      </c>
      <c r="F89" s="4">
        <v>1240</v>
      </c>
      <c r="G89" s="4">
        <f>F89*E89</f>
        <v>45880</v>
      </c>
      <c r="H89" s="3">
        <v>24</v>
      </c>
      <c r="I89" s="4">
        <f>F89</f>
        <v>1240</v>
      </c>
      <c r="J89" s="4">
        <f>I89*H89</f>
        <v>29760</v>
      </c>
    </row>
    <row r="90" spans="1:10" x14ac:dyDescent="0.25">
      <c r="A90" s="3">
        <v>2</v>
      </c>
      <c r="B90" t="s">
        <v>85</v>
      </c>
      <c r="C90" s="3">
        <v>12</v>
      </c>
      <c r="D90" s="3">
        <v>22</v>
      </c>
      <c r="E90" s="3">
        <f>C90+D90</f>
        <v>34</v>
      </c>
      <c r="F90" s="4">
        <v>1000</v>
      </c>
      <c r="G90" s="4">
        <f t="shared" ref="G90:G120" si="8">F90*E90</f>
        <v>34000</v>
      </c>
      <c r="H90" s="3">
        <v>21</v>
      </c>
      <c r="I90" s="4">
        <f t="shared" ref="I90:I120" si="9">F90</f>
        <v>1000</v>
      </c>
      <c r="J90" s="4">
        <f t="shared" ref="J90:J120" si="10">I90*H90</f>
        <v>21000</v>
      </c>
    </row>
    <row r="91" spans="1:10" x14ac:dyDescent="0.25">
      <c r="A91" s="3">
        <v>3</v>
      </c>
      <c r="B91" t="s">
        <v>86</v>
      </c>
      <c r="C91" s="3">
        <v>5</v>
      </c>
      <c r="D91" s="3">
        <v>10</v>
      </c>
      <c r="E91" s="3">
        <f t="shared" ref="E91:E120" si="11">C91+D91</f>
        <v>15</v>
      </c>
      <c r="F91" s="4">
        <v>1650</v>
      </c>
      <c r="G91" s="4">
        <f t="shared" si="8"/>
        <v>24750</v>
      </c>
      <c r="H91" s="3">
        <v>4</v>
      </c>
      <c r="I91" s="4">
        <f t="shared" si="9"/>
        <v>1650</v>
      </c>
      <c r="J91" s="4">
        <f t="shared" si="10"/>
        <v>6600</v>
      </c>
    </row>
    <row r="92" spans="1:10" x14ac:dyDescent="0.25">
      <c r="A92" s="3">
        <v>4</v>
      </c>
      <c r="B92" t="s">
        <v>87</v>
      </c>
      <c r="C92" s="3">
        <v>5</v>
      </c>
      <c r="D92" s="3">
        <v>10</v>
      </c>
      <c r="E92" s="3">
        <f t="shared" si="11"/>
        <v>15</v>
      </c>
      <c r="F92" s="4">
        <v>1650</v>
      </c>
      <c r="G92" s="4">
        <f t="shared" si="8"/>
        <v>24750</v>
      </c>
      <c r="H92" s="3">
        <v>12</v>
      </c>
      <c r="I92" s="4">
        <f t="shared" si="9"/>
        <v>1650</v>
      </c>
      <c r="J92" s="4">
        <f t="shared" si="10"/>
        <v>19800</v>
      </c>
    </row>
    <row r="93" spans="1:10" x14ac:dyDescent="0.25">
      <c r="A93" s="3">
        <v>5</v>
      </c>
      <c r="B93" t="s">
        <v>88</v>
      </c>
      <c r="C93" s="3">
        <v>3</v>
      </c>
      <c r="D93" s="3">
        <v>10</v>
      </c>
      <c r="E93" s="3">
        <f t="shared" si="11"/>
        <v>13</v>
      </c>
      <c r="F93" s="4">
        <v>1750</v>
      </c>
      <c r="G93" s="4">
        <f t="shared" si="8"/>
        <v>22750</v>
      </c>
      <c r="H93" s="3">
        <v>8</v>
      </c>
      <c r="I93" s="4">
        <f t="shared" si="9"/>
        <v>1750</v>
      </c>
      <c r="J93" s="4">
        <f t="shared" si="10"/>
        <v>14000</v>
      </c>
    </row>
    <row r="94" spans="1:10" x14ac:dyDescent="0.25">
      <c r="A94" s="3">
        <v>6</v>
      </c>
      <c r="B94" t="s">
        <v>89</v>
      </c>
      <c r="C94" s="3">
        <v>10</v>
      </c>
      <c r="D94" s="3">
        <v>12</v>
      </c>
      <c r="E94" s="3">
        <f t="shared" si="11"/>
        <v>22</v>
      </c>
      <c r="F94" s="4">
        <v>1500</v>
      </c>
      <c r="G94" s="4">
        <f t="shared" si="8"/>
        <v>33000</v>
      </c>
      <c r="H94" s="3">
        <v>6</v>
      </c>
      <c r="I94" s="4">
        <f t="shared" si="9"/>
        <v>1500</v>
      </c>
      <c r="J94" s="4">
        <f t="shared" si="10"/>
        <v>9000</v>
      </c>
    </row>
    <row r="95" spans="1:10" x14ac:dyDescent="0.25">
      <c r="A95" s="3">
        <v>7</v>
      </c>
      <c r="B95" t="s">
        <v>90</v>
      </c>
      <c r="C95" s="3">
        <v>9</v>
      </c>
      <c r="D95" s="3"/>
      <c r="E95" s="3">
        <f t="shared" si="11"/>
        <v>9</v>
      </c>
      <c r="F95" s="4">
        <v>1500</v>
      </c>
      <c r="G95" s="4">
        <f t="shared" si="8"/>
        <v>13500</v>
      </c>
      <c r="H95" s="3">
        <v>6</v>
      </c>
      <c r="I95" s="4">
        <f t="shared" si="9"/>
        <v>1500</v>
      </c>
      <c r="J95" s="4">
        <f t="shared" si="10"/>
        <v>9000</v>
      </c>
    </row>
    <row r="96" spans="1:10" x14ac:dyDescent="0.25">
      <c r="A96" s="3">
        <v>8</v>
      </c>
      <c r="B96" t="s">
        <v>91</v>
      </c>
      <c r="C96" s="3">
        <v>2</v>
      </c>
      <c r="D96" s="3">
        <v>12</v>
      </c>
      <c r="E96" s="3">
        <f t="shared" si="11"/>
        <v>14</v>
      </c>
      <c r="F96" s="4">
        <v>3350</v>
      </c>
      <c r="G96" s="4">
        <f t="shared" si="8"/>
        <v>46900</v>
      </c>
      <c r="H96" s="3">
        <v>7</v>
      </c>
      <c r="I96" s="4">
        <f t="shared" si="9"/>
        <v>3350</v>
      </c>
      <c r="J96" s="4">
        <f t="shared" si="10"/>
        <v>23450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2</v>
      </c>
      <c r="D98" s="3">
        <v>10</v>
      </c>
      <c r="E98" s="3">
        <f t="shared" si="11"/>
        <v>12</v>
      </c>
      <c r="F98" s="4">
        <v>9000</v>
      </c>
      <c r="G98" s="4">
        <f t="shared" si="8"/>
        <v>108000</v>
      </c>
      <c r="H98" s="3">
        <v>8</v>
      </c>
      <c r="I98" s="4">
        <f t="shared" si="9"/>
        <v>9000</v>
      </c>
      <c r="J98" s="4">
        <f t="shared" si="10"/>
        <v>72000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4</v>
      </c>
      <c r="D100" s="3">
        <v>8</v>
      </c>
      <c r="E100" s="3">
        <f t="shared" si="11"/>
        <v>12</v>
      </c>
      <c r="F100" s="4">
        <v>8000</v>
      </c>
      <c r="G100" s="4">
        <f t="shared" si="8"/>
        <v>96000</v>
      </c>
      <c r="H100" s="3">
        <v>3</v>
      </c>
      <c r="I100" s="4">
        <f t="shared" si="9"/>
        <v>8000</v>
      </c>
      <c r="J100" s="4">
        <f t="shared" si="10"/>
        <v>24000</v>
      </c>
    </row>
    <row r="101" spans="1:10" x14ac:dyDescent="0.25">
      <c r="A101" s="3">
        <v>13</v>
      </c>
      <c r="B101" t="s">
        <v>96</v>
      </c>
      <c r="C101" s="3"/>
      <c r="D101" s="3">
        <v>12</v>
      </c>
      <c r="E101" s="3">
        <f t="shared" si="11"/>
        <v>12</v>
      </c>
      <c r="F101" s="4">
        <v>3300</v>
      </c>
      <c r="G101" s="4">
        <f t="shared" si="8"/>
        <v>39600</v>
      </c>
      <c r="H101" s="3">
        <v>8</v>
      </c>
      <c r="I101" s="4">
        <f t="shared" si="9"/>
        <v>3300</v>
      </c>
      <c r="J101" s="4">
        <f t="shared" si="10"/>
        <v>26400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7</v>
      </c>
      <c r="D111" s="3"/>
      <c r="E111" s="3">
        <f t="shared" si="11"/>
        <v>7</v>
      </c>
      <c r="F111" s="4">
        <v>4000</v>
      </c>
      <c r="G111" s="4">
        <f t="shared" si="8"/>
        <v>28000</v>
      </c>
      <c r="H111" s="3">
        <v>3</v>
      </c>
      <c r="I111" s="4">
        <f t="shared" si="9"/>
        <v>4000</v>
      </c>
      <c r="J111" s="4">
        <f t="shared" si="10"/>
        <v>12000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/>
      <c r="I112" s="4">
        <f t="shared" si="9"/>
        <v>24000</v>
      </c>
      <c r="J112" s="4">
        <f t="shared" si="10"/>
        <v>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719130</v>
      </c>
      <c r="H121" s="5"/>
      <c r="I121" s="5"/>
      <c r="J121" s="5">
        <f>SUM(J89:J120)</f>
        <v>296010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950195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2E1E-B4EB-4852-A26C-403D90017D02}">
  <dimension ref="A1:M268"/>
  <sheetViews>
    <sheetView workbookViewId="0">
      <selection sqref="A1:XFD1048576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0.4</v>
      </c>
      <c r="D3" s="3">
        <v>0.5</v>
      </c>
      <c r="E3" s="3">
        <f t="shared" ref="E3:E66" si="0">C3+D3</f>
        <v>0.9</v>
      </c>
      <c r="F3" s="4">
        <v>36000</v>
      </c>
      <c r="G3" s="4">
        <f>F3*E3</f>
        <v>32400</v>
      </c>
      <c r="H3" s="3">
        <v>0.5</v>
      </c>
      <c r="I3" s="4">
        <f>F3</f>
        <v>36000</v>
      </c>
      <c r="J3" s="4">
        <f>I3*H3</f>
        <v>18000</v>
      </c>
    </row>
    <row r="4" spans="1:13" x14ac:dyDescent="0.25">
      <c r="A4" s="3">
        <v>2</v>
      </c>
      <c r="B4" t="s">
        <v>10</v>
      </c>
      <c r="C4" s="3"/>
      <c r="D4" s="3"/>
      <c r="E4" s="3">
        <f t="shared" si="0"/>
        <v>0</v>
      </c>
      <c r="F4" s="4">
        <v>36000</v>
      </c>
      <c r="G4" s="4">
        <f t="shared" ref="G4:G73" si="1">F4*E4</f>
        <v>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/>
      <c r="D6" s="3">
        <v>0.25</v>
      </c>
      <c r="E6" s="3">
        <f t="shared" si="0"/>
        <v>0.25</v>
      </c>
      <c r="F6" s="4">
        <v>60000</v>
      </c>
      <c r="G6" s="4">
        <f t="shared" si="1"/>
        <v>15000</v>
      </c>
      <c r="H6" s="3">
        <v>0.2</v>
      </c>
      <c r="I6" s="4">
        <f t="shared" si="2"/>
        <v>60000</v>
      </c>
      <c r="J6" s="4">
        <f t="shared" si="3"/>
        <v>12000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0.25</v>
      </c>
      <c r="E8" s="3">
        <f t="shared" si="0"/>
        <v>0.25</v>
      </c>
      <c r="F8" s="4">
        <v>50000</v>
      </c>
      <c r="G8" s="4">
        <f t="shared" si="1"/>
        <v>12500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>
        <v>0.6</v>
      </c>
      <c r="I9" s="4">
        <f t="shared" si="2"/>
        <v>13000</v>
      </c>
      <c r="J9" s="4">
        <f t="shared" si="3"/>
        <v>7800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/>
      <c r="E19" s="3">
        <f t="shared" si="0"/>
        <v>0</v>
      </c>
      <c r="F19" s="4">
        <v>20000</v>
      </c>
      <c r="G19" s="4">
        <f t="shared" si="1"/>
        <v>0</v>
      </c>
      <c r="H19" s="3"/>
      <c r="I19" s="4">
        <f t="shared" si="2"/>
        <v>20000</v>
      </c>
      <c r="J19" s="4">
        <f t="shared" si="3"/>
        <v>0</v>
      </c>
    </row>
    <row r="20" spans="1:10" x14ac:dyDescent="0.25">
      <c r="A20" s="3">
        <v>18</v>
      </c>
      <c r="B20" t="s">
        <v>25</v>
      </c>
      <c r="C20" s="3">
        <v>1</v>
      </c>
      <c r="D20" s="3">
        <v>2</v>
      </c>
      <c r="E20" s="3">
        <f t="shared" si="0"/>
        <v>3</v>
      </c>
      <c r="F20" s="4">
        <v>11000</v>
      </c>
      <c r="G20" s="4">
        <f t="shared" si="1"/>
        <v>33000</v>
      </c>
      <c r="H20" s="3"/>
      <c r="I20" s="4">
        <f t="shared" si="2"/>
        <v>11000</v>
      </c>
      <c r="J20" s="4">
        <f t="shared" si="3"/>
        <v>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2.9</v>
      </c>
      <c r="D23" s="3">
        <v>2</v>
      </c>
      <c r="E23" s="3">
        <f t="shared" si="0"/>
        <v>4.9000000000000004</v>
      </c>
      <c r="F23" s="4">
        <v>8000</v>
      </c>
      <c r="G23" s="4">
        <f>F23*E23</f>
        <v>39200</v>
      </c>
      <c r="H23" s="3">
        <v>2.2999999999999998</v>
      </c>
      <c r="I23" s="4">
        <f t="shared" si="2"/>
        <v>8000</v>
      </c>
      <c r="J23" s="4">
        <f t="shared" si="3"/>
        <v>18400</v>
      </c>
    </row>
    <row r="24" spans="1:10" x14ac:dyDescent="0.25">
      <c r="A24" s="3">
        <v>22</v>
      </c>
      <c r="B24" t="s">
        <v>29</v>
      </c>
      <c r="C24" s="3">
        <v>0.14000000000000001</v>
      </c>
      <c r="D24" s="3"/>
      <c r="E24" s="3">
        <f t="shared" si="0"/>
        <v>0.14000000000000001</v>
      </c>
      <c r="F24" s="4">
        <v>8000</v>
      </c>
      <c r="G24" s="4">
        <f t="shared" si="1"/>
        <v>1120</v>
      </c>
      <c r="H24" s="3">
        <v>0.13</v>
      </c>
      <c r="I24" s="4">
        <f t="shared" si="2"/>
        <v>8000</v>
      </c>
      <c r="J24" s="4">
        <f t="shared" si="3"/>
        <v>1040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0.38</v>
      </c>
      <c r="D26" s="3">
        <v>1</v>
      </c>
      <c r="E26" s="3">
        <f t="shared" si="0"/>
        <v>1.38</v>
      </c>
      <c r="F26" s="4">
        <v>11500</v>
      </c>
      <c r="G26" s="4">
        <f t="shared" si="1"/>
        <v>15869.999999999998</v>
      </c>
      <c r="H26" s="3">
        <v>0.5</v>
      </c>
      <c r="I26" s="4">
        <f t="shared" si="2"/>
        <v>11500</v>
      </c>
      <c r="J26" s="4">
        <f t="shared" si="3"/>
        <v>5750</v>
      </c>
    </row>
    <row r="27" spans="1:10" x14ac:dyDescent="0.25">
      <c r="A27" s="3">
        <v>25</v>
      </c>
      <c r="B27" t="s">
        <v>32</v>
      </c>
      <c r="C27" s="3"/>
      <c r="D27" s="3">
        <v>1</v>
      </c>
      <c r="E27" s="3">
        <f t="shared" si="0"/>
        <v>1</v>
      </c>
      <c r="F27" s="4">
        <v>8500</v>
      </c>
      <c r="G27" s="4">
        <f t="shared" si="1"/>
        <v>8500</v>
      </c>
      <c r="H27" s="3">
        <v>0.36</v>
      </c>
      <c r="I27" s="4">
        <f t="shared" si="2"/>
        <v>8500</v>
      </c>
      <c r="J27" s="4">
        <f t="shared" si="3"/>
        <v>3060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0.18</v>
      </c>
      <c r="D29" s="3">
        <v>0.25</v>
      </c>
      <c r="E29" s="3">
        <f t="shared" si="0"/>
        <v>0.43</v>
      </c>
      <c r="F29" s="4">
        <v>24000</v>
      </c>
      <c r="G29" s="4">
        <f t="shared" si="1"/>
        <v>10320</v>
      </c>
      <c r="H29" s="3">
        <v>0.26</v>
      </c>
      <c r="I29" s="4">
        <f t="shared" si="2"/>
        <v>24000</v>
      </c>
      <c r="J29" s="4">
        <f t="shared" si="3"/>
        <v>6240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4</v>
      </c>
      <c r="D34" s="3">
        <v>3</v>
      </c>
      <c r="E34" s="3">
        <f t="shared" si="0"/>
        <v>7</v>
      </c>
      <c r="F34" s="4">
        <v>17500</v>
      </c>
      <c r="G34" s="4">
        <f t="shared" si="1"/>
        <v>122500</v>
      </c>
      <c r="H34" s="3">
        <v>3</v>
      </c>
      <c r="I34" s="4">
        <f t="shared" si="2"/>
        <v>17500</v>
      </c>
      <c r="J34" s="4">
        <f t="shared" si="3"/>
        <v>52500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1</v>
      </c>
      <c r="E41" s="3">
        <f t="shared" si="0"/>
        <v>2</v>
      </c>
      <c r="F41" s="4">
        <v>83000</v>
      </c>
      <c r="G41" s="4">
        <f t="shared" si="1"/>
        <v>166000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2</v>
      </c>
      <c r="D42" s="3">
        <v>3</v>
      </c>
      <c r="E42" s="3">
        <f t="shared" si="0"/>
        <v>5</v>
      </c>
      <c r="F42" s="4">
        <v>21000</v>
      </c>
      <c r="G42" s="4">
        <f t="shared" si="1"/>
        <v>105000</v>
      </c>
      <c r="H42" s="3"/>
      <c r="I42" s="4">
        <f t="shared" si="2"/>
        <v>21000</v>
      </c>
      <c r="J42" s="4">
        <f t="shared" si="3"/>
        <v>0</v>
      </c>
    </row>
    <row r="43" spans="1:10" x14ac:dyDescent="0.25">
      <c r="A43" s="3">
        <v>41</v>
      </c>
      <c r="B43" t="s">
        <v>48</v>
      </c>
      <c r="C43" s="3">
        <v>6</v>
      </c>
      <c r="D43" s="3"/>
      <c r="E43" s="3">
        <f t="shared" si="0"/>
        <v>6</v>
      </c>
      <c r="F43" s="4">
        <v>25000</v>
      </c>
      <c r="G43" s="4">
        <f t="shared" si="1"/>
        <v>150000</v>
      </c>
      <c r="H43" s="3">
        <v>3</v>
      </c>
      <c r="I43" s="4">
        <f t="shared" si="2"/>
        <v>25000</v>
      </c>
      <c r="J43" s="4">
        <f t="shared" si="3"/>
        <v>75000</v>
      </c>
    </row>
    <row r="44" spans="1:10" x14ac:dyDescent="0.25">
      <c r="A44" s="3">
        <v>42</v>
      </c>
      <c r="B44" t="s">
        <v>49</v>
      </c>
      <c r="C44" s="3"/>
      <c r="D44" s="3">
        <v>1</v>
      </c>
      <c r="E44" s="3">
        <f t="shared" si="0"/>
        <v>1</v>
      </c>
      <c r="F44" s="4">
        <v>5500</v>
      </c>
      <c r="G44" s="4">
        <f t="shared" si="1"/>
        <v>5500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/>
      <c r="D45" s="3">
        <v>3</v>
      </c>
      <c r="E45" s="3">
        <f t="shared" si="0"/>
        <v>3</v>
      </c>
      <c r="F45" s="4">
        <v>15500</v>
      </c>
      <c r="G45" s="4">
        <f t="shared" si="1"/>
        <v>46500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9</v>
      </c>
      <c r="D49" s="3">
        <v>20</v>
      </c>
      <c r="E49" s="3">
        <f t="shared" si="0"/>
        <v>29</v>
      </c>
      <c r="F49" s="4">
        <v>6000</v>
      </c>
      <c r="G49" s="4">
        <f t="shared" si="1"/>
        <v>174000</v>
      </c>
      <c r="H49" s="3">
        <v>23</v>
      </c>
      <c r="I49" s="4">
        <f t="shared" si="2"/>
        <v>6000</v>
      </c>
      <c r="J49" s="4">
        <f t="shared" si="3"/>
        <v>138000</v>
      </c>
    </row>
    <row r="50" spans="1:10" x14ac:dyDescent="0.25">
      <c r="A50" s="3">
        <v>48</v>
      </c>
      <c r="B50" t="s">
        <v>55</v>
      </c>
      <c r="C50" s="3">
        <v>81</v>
      </c>
      <c r="D50" s="3"/>
      <c r="E50" s="3">
        <f t="shared" si="0"/>
        <v>81</v>
      </c>
      <c r="F50" s="4"/>
      <c r="G50" s="4">
        <f t="shared" si="1"/>
        <v>0</v>
      </c>
      <c r="H50" s="3">
        <v>75</v>
      </c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/>
      <c r="D51" s="3">
        <v>3</v>
      </c>
      <c r="E51" s="3">
        <f t="shared" si="0"/>
        <v>3</v>
      </c>
      <c r="F51" s="4">
        <v>12000</v>
      </c>
      <c r="G51" s="4">
        <f>F51*E51</f>
        <v>36000</v>
      </c>
      <c r="H51" s="3">
        <v>1.5</v>
      </c>
      <c r="I51" s="4">
        <f t="shared" si="2"/>
        <v>12000</v>
      </c>
      <c r="J51" s="4">
        <f t="shared" si="3"/>
        <v>18000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>
        <v>21</v>
      </c>
      <c r="E61" s="3">
        <f t="shared" si="0"/>
        <v>21</v>
      </c>
      <c r="F61" s="4">
        <v>5700</v>
      </c>
      <c r="G61" s="4">
        <f t="shared" si="1"/>
        <v>119700</v>
      </c>
      <c r="H61" s="3">
        <v>14</v>
      </c>
      <c r="I61" s="4">
        <f t="shared" si="2"/>
        <v>5700</v>
      </c>
      <c r="J61" s="4">
        <f t="shared" si="3"/>
        <v>79800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>
        <v>1</v>
      </c>
      <c r="E63" s="3">
        <f t="shared" si="0"/>
        <v>1</v>
      </c>
      <c r="F63" s="4">
        <v>39000</v>
      </c>
      <c r="G63" s="4">
        <f t="shared" si="1"/>
        <v>39000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/>
      <c r="D64" s="3"/>
      <c r="E64" s="3">
        <f t="shared" si="0"/>
        <v>0</v>
      </c>
      <c r="F64" s="4">
        <v>4875</v>
      </c>
      <c r="G64" s="4">
        <f t="shared" si="1"/>
        <v>0</v>
      </c>
      <c r="H64" s="3"/>
      <c r="I64" s="4">
        <f t="shared" si="2"/>
        <v>4875</v>
      </c>
      <c r="J64" s="4">
        <f t="shared" si="3"/>
        <v>0</v>
      </c>
    </row>
    <row r="65" spans="1:10" x14ac:dyDescent="0.25">
      <c r="A65" s="3">
        <v>63</v>
      </c>
      <c r="B65" t="s">
        <v>70</v>
      </c>
      <c r="C65" s="3">
        <v>4</v>
      </c>
      <c r="D65" s="3">
        <v>20</v>
      </c>
      <c r="E65" s="3">
        <f t="shared" si="0"/>
        <v>24</v>
      </c>
      <c r="F65" s="4">
        <v>21000</v>
      </c>
      <c r="G65" s="4">
        <f t="shared" si="1"/>
        <v>504000</v>
      </c>
      <c r="H65" s="3">
        <v>20</v>
      </c>
      <c r="I65" s="4">
        <f t="shared" si="2"/>
        <v>21000</v>
      </c>
      <c r="J65" s="4">
        <f t="shared" si="3"/>
        <v>420000</v>
      </c>
    </row>
    <row r="66" spans="1:10" x14ac:dyDescent="0.25">
      <c r="A66" s="3">
        <v>64</v>
      </c>
      <c r="B66" t="s">
        <v>115</v>
      </c>
      <c r="C66" s="3">
        <v>0.48</v>
      </c>
      <c r="D66" s="3"/>
      <c r="E66" s="3">
        <f t="shared" si="0"/>
        <v>0.48</v>
      </c>
      <c r="F66" s="4">
        <v>100000</v>
      </c>
      <c r="G66" s="4">
        <f t="shared" si="1"/>
        <v>48000</v>
      </c>
      <c r="H66" s="3">
        <v>0.17</v>
      </c>
      <c r="I66" s="4">
        <f t="shared" si="2"/>
        <v>100000</v>
      </c>
      <c r="J66" s="4">
        <f t="shared" si="3"/>
        <v>17000</v>
      </c>
    </row>
    <row r="67" spans="1:10" x14ac:dyDescent="0.25">
      <c r="A67" s="3">
        <v>65</v>
      </c>
      <c r="B67" t="s">
        <v>71</v>
      </c>
      <c r="C67" s="3">
        <v>0.78</v>
      </c>
      <c r="D67" s="3">
        <v>2</v>
      </c>
      <c r="E67" s="3">
        <f t="shared" ref="E67:E83" si="4">C67+D67</f>
        <v>2.7800000000000002</v>
      </c>
      <c r="F67" s="4">
        <v>17500</v>
      </c>
      <c r="G67" s="4">
        <f t="shared" si="1"/>
        <v>48650.000000000007</v>
      </c>
      <c r="H67" s="3">
        <v>0.28999999999999998</v>
      </c>
      <c r="I67" s="4">
        <f t="shared" si="2"/>
        <v>17500</v>
      </c>
      <c r="J67" s="4">
        <f t="shared" si="3"/>
        <v>5075</v>
      </c>
    </row>
    <row r="68" spans="1:10" x14ac:dyDescent="0.25">
      <c r="A68" s="3">
        <v>66</v>
      </c>
      <c r="B68" t="s">
        <v>72</v>
      </c>
      <c r="C68" s="3">
        <v>0.25</v>
      </c>
      <c r="D68" s="3">
        <v>4</v>
      </c>
      <c r="E68" s="3">
        <f t="shared" si="4"/>
        <v>4.25</v>
      </c>
      <c r="F68" s="4">
        <v>8000</v>
      </c>
      <c r="G68" s="4">
        <f t="shared" si="1"/>
        <v>34000</v>
      </c>
      <c r="H68" s="3">
        <v>3</v>
      </c>
      <c r="I68" s="4">
        <f t="shared" si="2"/>
        <v>8000</v>
      </c>
      <c r="J68" s="4">
        <f t="shared" si="3"/>
        <v>24000</v>
      </c>
    </row>
    <row r="69" spans="1:10" x14ac:dyDescent="0.25">
      <c r="A69" s="3">
        <v>67</v>
      </c>
      <c r="B69" t="s">
        <v>73</v>
      </c>
      <c r="C69" s="3">
        <v>0.62</v>
      </c>
      <c r="D69" s="3">
        <v>2</v>
      </c>
      <c r="E69" s="3">
        <f t="shared" si="4"/>
        <v>2.62</v>
      </c>
      <c r="F69" s="4">
        <v>31000</v>
      </c>
      <c r="G69" s="4">
        <f t="shared" si="1"/>
        <v>81220</v>
      </c>
      <c r="H69" s="3">
        <v>1.44</v>
      </c>
      <c r="I69" s="4">
        <f t="shared" si="2"/>
        <v>31000</v>
      </c>
      <c r="J69" s="4">
        <f t="shared" ref="J69:J83" si="5">I69*H69</f>
        <v>44640</v>
      </c>
    </row>
    <row r="70" spans="1:10" x14ac:dyDescent="0.25">
      <c r="A70" s="3">
        <v>68</v>
      </c>
      <c r="B70" t="s">
        <v>74</v>
      </c>
      <c r="C70" s="3"/>
      <c r="D70" s="3">
        <v>1</v>
      </c>
      <c r="E70" s="3">
        <f t="shared" si="4"/>
        <v>1</v>
      </c>
      <c r="F70" s="4">
        <v>24000</v>
      </c>
      <c r="G70" s="4">
        <f t="shared" si="1"/>
        <v>24000</v>
      </c>
      <c r="H70" s="3">
        <v>0.28999999999999998</v>
      </c>
      <c r="I70" s="4">
        <f t="shared" si="2"/>
        <v>24000</v>
      </c>
      <c r="J70" s="4">
        <f t="shared" si="5"/>
        <v>6959.9999999999991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>
        <v>2</v>
      </c>
      <c r="E72" s="3">
        <f t="shared" si="4"/>
        <v>3</v>
      </c>
      <c r="F72" s="4">
        <v>15000</v>
      </c>
      <c r="G72" s="4">
        <f>F72*E72</f>
        <v>45000</v>
      </c>
      <c r="H72" s="3">
        <v>2</v>
      </c>
      <c r="I72" s="4">
        <f t="shared" si="2"/>
        <v>15000</v>
      </c>
      <c r="J72" s="4">
        <f t="shared" si="5"/>
        <v>30000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13</v>
      </c>
      <c r="D74" s="3"/>
      <c r="E74" s="3">
        <f t="shared" si="4"/>
        <v>13</v>
      </c>
      <c r="F74" s="4"/>
      <c r="G74" s="4">
        <f t="shared" ref="G74:G83" si="6">F74*E74</f>
        <v>0</v>
      </c>
      <c r="H74" s="3">
        <v>13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6</v>
      </c>
      <c r="D75" s="3"/>
      <c r="E75" s="3">
        <f t="shared" si="4"/>
        <v>6</v>
      </c>
      <c r="F75" s="4"/>
      <c r="G75" s="4">
        <f t="shared" si="6"/>
        <v>0</v>
      </c>
      <c r="H75" s="3">
        <v>5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7</v>
      </c>
      <c r="D76" s="3"/>
      <c r="E76" s="3">
        <f t="shared" si="4"/>
        <v>7</v>
      </c>
      <c r="F76" s="4">
        <v>4875</v>
      </c>
      <c r="G76" s="4">
        <f t="shared" si="6"/>
        <v>34125</v>
      </c>
      <c r="H76" s="3">
        <v>4</v>
      </c>
      <c r="I76" s="4">
        <f t="shared" si="7"/>
        <v>4875</v>
      </c>
      <c r="J76" s="4">
        <f t="shared" si="5"/>
        <v>19500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1974105</v>
      </c>
      <c r="H85" s="5"/>
      <c r="I85" s="5"/>
      <c r="J85" s="5">
        <f>SUM(J3:J84)</f>
        <v>1116765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24</v>
      </c>
      <c r="D89" s="3"/>
      <c r="E89" s="3">
        <f>C89+D89</f>
        <v>24</v>
      </c>
      <c r="F89" s="4">
        <v>1240</v>
      </c>
      <c r="G89" s="4">
        <f>F89*E89</f>
        <v>29760</v>
      </c>
      <c r="H89" s="3">
        <v>24</v>
      </c>
      <c r="I89" s="4">
        <f>F89</f>
        <v>1240</v>
      </c>
      <c r="J89" s="4">
        <f>I89*H89</f>
        <v>29760</v>
      </c>
    </row>
    <row r="90" spans="1:10" x14ac:dyDescent="0.25">
      <c r="A90" s="3">
        <v>2</v>
      </c>
      <c r="B90" t="s">
        <v>85</v>
      </c>
      <c r="C90" s="3">
        <v>21</v>
      </c>
      <c r="D90" s="3">
        <v>22</v>
      </c>
      <c r="E90" s="3">
        <f>C90+D90</f>
        <v>43</v>
      </c>
      <c r="F90" s="4">
        <v>1000</v>
      </c>
      <c r="G90" s="4">
        <f t="shared" ref="G90:G120" si="8">F90*E90</f>
        <v>43000</v>
      </c>
      <c r="H90" s="3">
        <v>28</v>
      </c>
      <c r="I90" s="4">
        <f t="shared" ref="I90:I120" si="9">F90</f>
        <v>1000</v>
      </c>
      <c r="J90" s="4">
        <f t="shared" ref="J90:J120" si="10">I90*H90</f>
        <v>28000</v>
      </c>
    </row>
    <row r="91" spans="1:10" x14ac:dyDescent="0.25">
      <c r="A91" s="3">
        <v>3</v>
      </c>
      <c r="B91" t="s">
        <v>86</v>
      </c>
      <c r="C91" s="3">
        <v>4</v>
      </c>
      <c r="D91" s="3">
        <v>20</v>
      </c>
      <c r="E91" s="3">
        <f t="shared" ref="E91:E120" si="11">C91+D91</f>
        <v>24</v>
      </c>
      <c r="F91" s="4">
        <v>1650</v>
      </c>
      <c r="G91" s="4">
        <f t="shared" si="8"/>
        <v>39600</v>
      </c>
      <c r="H91" s="3">
        <v>13</v>
      </c>
      <c r="I91" s="4">
        <f t="shared" si="9"/>
        <v>1650</v>
      </c>
      <c r="J91" s="4">
        <f t="shared" si="10"/>
        <v>21450</v>
      </c>
    </row>
    <row r="92" spans="1:10" x14ac:dyDescent="0.25">
      <c r="A92" s="3">
        <v>4</v>
      </c>
      <c r="B92" t="s">
        <v>87</v>
      </c>
      <c r="C92" s="3">
        <v>12</v>
      </c>
      <c r="D92" s="3"/>
      <c r="E92" s="3">
        <f t="shared" si="11"/>
        <v>12</v>
      </c>
      <c r="F92" s="4">
        <v>1650</v>
      </c>
      <c r="G92" s="4">
        <f t="shared" si="8"/>
        <v>19800</v>
      </c>
      <c r="H92" s="3">
        <v>9</v>
      </c>
      <c r="I92" s="4">
        <f t="shared" si="9"/>
        <v>1650</v>
      </c>
      <c r="J92" s="4">
        <f t="shared" si="10"/>
        <v>14850</v>
      </c>
    </row>
    <row r="93" spans="1:10" x14ac:dyDescent="0.25">
      <c r="A93" s="3">
        <v>5</v>
      </c>
      <c r="B93" t="s">
        <v>88</v>
      </c>
      <c r="C93" s="3">
        <v>8</v>
      </c>
      <c r="D93" s="3"/>
      <c r="E93" s="3">
        <f t="shared" si="11"/>
        <v>8</v>
      </c>
      <c r="F93" s="4">
        <v>1750</v>
      </c>
      <c r="G93" s="4">
        <f t="shared" si="8"/>
        <v>14000</v>
      </c>
      <c r="H93" s="3">
        <v>4</v>
      </c>
      <c r="I93" s="4">
        <f t="shared" si="9"/>
        <v>1750</v>
      </c>
      <c r="J93" s="4">
        <f t="shared" si="10"/>
        <v>7000</v>
      </c>
    </row>
    <row r="94" spans="1:10" x14ac:dyDescent="0.25">
      <c r="A94" s="3">
        <v>6</v>
      </c>
      <c r="B94" t="s">
        <v>89</v>
      </c>
      <c r="C94" s="3">
        <v>6</v>
      </c>
      <c r="D94" s="3">
        <v>12</v>
      </c>
      <c r="E94" s="3">
        <f t="shared" si="11"/>
        <v>18</v>
      </c>
      <c r="F94" s="4">
        <v>1500</v>
      </c>
      <c r="G94" s="4">
        <f t="shared" si="8"/>
        <v>27000</v>
      </c>
      <c r="H94" s="3">
        <v>7</v>
      </c>
      <c r="I94" s="4">
        <f t="shared" si="9"/>
        <v>1500</v>
      </c>
      <c r="J94" s="4">
        <f t="shared" si="10"/>
        <v>10500</v>
      </c>
    </row>
    <row r="95" spans="1:10" x14ac:dyDescent="0.25">
      <c r="A95" s="3">
        <v>7</v>
      </c>
      <c r="B95" t="s">
        <v>90</v>
      </c>
      <c r="C95" s="3">
        <v>6</v>
      </c>
      <c r="D95" s="3"/>
      <c r="E95" s="3">
        <f t="shared" si="11"/>
        <v>6</v>
      </c>
      <c r="F95" s="4">
        <v>1500</v>
      </c>
      <c r="G95" s="4">
        <f t="shared" si="8"/>
        <v>9000</v>
      </c>
      <c r="H95" s="3">
        <v>3</v>
      </c>
      <c r="I95" s="4">
        <f t="shared" si="9"/>
        <v>1500</v>
      </c>
      <c r="J95" s="4">
        <f t="shared" si="10"/>
        <v>4500</v>
      </c>
    </row>
    <row r="96" spans="1:10" x14ac:dyDescent="0.25">
      <c r="A96" s="3">
        <v>8</v>
      </c>
      <c r="B96" t="s">
        <v>91</v>
      </c>
      <c r="C96" s="3">
        <v>7</v>
      </c>
      <c r="D96" s="3"/>
      <c r="E96" s="3">
        <f t="shared" si="11"/>
        <v>7</v>
      </c>
      <c r="F96" s="4">
        <v>3350</v>
      </c>
      <c r="G96" s="4">
        <f t="shared" si="8"/>
        <v>23450</v>
      </c>
      <c r="H96" s="3"/>
      <c r="I96" s="4">
        <f t="shared" si="9"/>
        <v>3350</v>
      </c>
      <c r="J96" s="4">
        <f t="shared" si="10"/>
        <v>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8</v>
      </c>
      <c r="D98" s="3"/>
      <c r="E98" s="3">
        <f t="shared" si="11"/>
        <v>8</v>
      </c>
      <c r="F98" s="4">
        <v>9000</v>
      </c>
      <c r="G98" s="4">
        <f t="shared" si="8"/>
        <v>72000</v>
      </c>
      <c r="H98" s="3">
        <v>6</v>
      </c>
      <c r="I98" s="4">
        <f t="shared" si="9"/>
        <v>9000</v>
      </c>
      <c r="J98" s="4">
        <f t="shared" si="10"/>
        <v>54000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3</v>
      </c>
      <c r="D100" s="3">
        <v>5</v>
      </c>
      <c r="E100" s="3">
        <f t="shared" si="11"/>
        <v>8</v>
      </c>
      <c r="F100" s="4">
        <v>8000</v>
      </c>
      <c r="G100" s="4">
        <f t="shared" si="8"/>
        <v>64000</v>
      </c>
      <c r="H100" s="3">
        <v>3</v>
      </c>
      <c r="I100" s="4">
        <f t="shared" si="9"/>
        <v>8000</v>
      </c>
      <c r="J100" s="4">
        <f t="shared" si="10"/>
        <v>24000</v>
      </c>
    </row>
    <row r="101" spans="1:10" x14ac:dyDescent="0.25">
      <c r="A101" s="3">
        <v>13</v>
      </c>
      <c r="B101" t="s">
        <v>96</v>
      </c>
      <c r="C101" s="3">
        <v>8</v>
      </c>
      <c r="D101" s="3"/>
      <c r="E101" s="3">
        <f t="shared" si="11"/>
        <v>8</v>
      </c>
      <c r="F101" s="4">
        <v>3300</v>
      </c>
      <c r="G101" s="4">
        <f t="shared" si="8"/>
        <v>26400</v>
      </c>
      <c r="H101" s="3">
        <v>8</v>
      </c>
      <c r="I101" s="4">
        <f t="shared" si="9"/>
        <v>3300</v>
      </c>
      <c r="J101" s="4">
        <f t="shared" si="10"/>
        <v>26400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3</v>
      </c>
      <c r="D111" s="3">
        <v>8</v>
      </c>
      <c r="E111" s="3">
        <f t="shared" si="11"/>
        <v>11</v>
      </c>
      <c r="F111" s="4">
        <v>4000</v>
      </c>
      <c r="G111" s="4">
        <f t="shared" si="8"/>
        <v>44000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/>
      <c r="D112" s="3">
        <v>4</v>
      </c>
      <c r="E112" s="3">
        <f t="shared" si="11"/>
        <v>4</v>
      </c>
      <c r="F112" s="4">
        <v>24000</v>
      </c>
      <c r="G112" s="4">
        <f t="shared" si="8"/>
        <v>96000</v>
      </c>
      <c r="H112" s="3">
        <v>2</v>
      </c>
      <c r="I112" s="4">
        <f t="shared" si="9"/>
        <v>24000</v>
      </c>
      <c r="J112" s="4">
        <f t="shared" si="10"/>
        <v>48000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566010</v>
      </c>
      <c r="H121" s="5"/>
      <c r="I121" s="5"/>
      <c r="J121" s="5">
        <f>SUM(J89:J120)</f>
        <v>313460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1430225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C950-AD52-4E51-A53B-AB7ED500CCEA}">
  <dimension ref="A1:M268"/>
  <sheetViews>
    <sheetView workbookViewId="0">
      <selection sqref="A1:XFD1048576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0.5</v>
      </c>
      <c r="D3" s="3"/>
      <c r="E3" s="3">
        <f t="shared" ref="E3:E66" si="0">C3+D3</f>
        <v>0.5</v>
      </c>
      <c r="F3" s="4">
        <v>36000</v>
      </c>
      <c r="G3" s="4">
        <f>F3*E3</f>
        <v>18000</v>
      </c>
      <c r="H3" s="3">
        <v>0.32</v>
      </c>
      <c r="I3" s="4">
        <f>F3</f>
        <v>36000</v>
      </c>
      <c r="J3" s="4">
        <f>I3*H3</f>
        <v>11520</v>
      </c>
    </row>
    <row r="4" spans="1:13" x14ac:dyDescent="0.25">
      <c r="A4" s="3">
        <v>2</v>
      </c>
      <c r="B4" t="s">
        <v>10</v>
      </c>
      <c r="C4" s="3"/>
      <c r="D4" s="3">
        <v>0.25</v>
      </c>
      <c r="E4" s="3">
        <f t="shared" si="0"/>
        <v>0.25</v>
      </c>
      <c r="F4" s="4">
        <v>36000</v>
      </c>
      <c r="G4" s="4">
        <f t="shared" ref="G4:G73" si="1">F4*E4</f>
        <v>9000</v>
      </c>
      <c r="H4" s="3">
        <v>0.23</v>
      </c>
      <c r="I4" s="4">
        <f t="shared" ref="I4:I73" si="2">F4</f>
        <v>36000</v>
      </c>
      <c r="J4" s="4">
        <f t="shared" ref="J4:J68" si="3">I4*H4</f>
        <v>8280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>
        <v>0.2</v>
      </c>
      <c r="D6" s="3"/>
      <c r="E6" s="3">
        <f t="shared" si="0"/>
        <v>0.2</v>
      </c>
      <c r="F6" s="4">
        <v>60000</v>
      </c>
      <c r="G6" s="4">
        <f t="shared" si="1"/>
        <v>12000</v>
      </c>
      <c r="H6" s="3">
        <v>0.11</v>
      </c>
      <c r="I6" s="4">
        <f t="shared" si="2"/>
        <v>60000</v>
      </c>
      <c r="J6" s="4">
        <f t="shared" si="3"/>
        <v>6600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0.25</v>
      </c>
      <c r="E8" s="3">
        <f t="shared" si="0"/>
        <v>0.25</v>
      </c>
      <c r="F8" s="4">
        <v>50000</v>
      </c>
      <c r="G8" s="4">
        <f t="shared" si="1"/>
        <v>12500</v>
      </c>
      <c r="H8" s="3"/>
      <c r="I8" s="4">
        <f t="shared" si="2"/>
        <v>50000</v>
      </c>
      <c r="J8" s="4">
        <f t="shared" si="3"/>
        <v>0</v>
      </c>
    </row>
    <row r="9" spans="1:13" x14ac:dyDescent="0.25">
      <c r="A9" s="3">
        <v>7</v>
      </c>
      <c r="B9" t="s">
        <v>15</v>
      </c>
      <c r="C9" s="3">
        <v>0.6</v>
      </c>
      <c r="D9" s="3"/>
      <c r="E9" s="3">
        <f t="shared" si="0"/>
        <v>0.6</v>
      </c>
      <c r="F9" s="4">
        <v>13000</v>
      </c>
      <c r="G9" s="4">
        <f t="shared" si="1"/>
        <v>7800</v>
      </c>
      <c r="H9" s="3"/>
      <c r="I9" s="4">
        <f t="shared" si="2"/>
        <v>13000</v>
      </c>
      <c r="J9" s="4">
        <f t="shared" si="3"/>
        <v>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/>
      <c r="D19" s="3">
        <v>1</v>
      </c>
      <c r="E19" s="3">
        <f t="shared" si="0"/>
        <v>1</v>
      </c>
      <c r="F19" s="4">
        <v>20000</v>
      </c>
      <c r="G19" s="4">
        <f t="shared" si="1"/>
        <v>20000</v>
      </c>
      <c r="H19" s="3">
        <v>0.46</v>
      </c>
      <c r="I19" s="4">
        <f t="shared" si="2"/>
        <v>20000</v>
      </c>
      <c r="J19" s="4">
        <f t="shared" si="3"/>
        <v>9200</v>
      </c>
    </row>
    <row r="20" spans="1:10" x14ac:dyDescent="0.25">
      <c r="A20" s="3">
        <v>18</v>
      </c>
      <c r="B20" t="s">
        <v>25</v>
      </c>
      <c r="C20" s="3"/>
      <c r="D20" s="3">
        <v>2</v>
      </c>
      <c r="E20" s="3">
        <f t="shared" si="0"/>
        <v>2</v>
      </c>
      <c r="F20" s="4">
        <v>11000</v>
      </c>
      <c r="G20" s="4">
        <f t="shared" si="1"/>
        <v>22000</v>
      </c>
      <c r="H20" s="3">
        <v>0.79</v>
      </c>
      <c r="I20" s="4">
        <f t="shared" si="2"/>
        <v>11000</v>
      </c>
      <c r="J20" s="4">
        <f t="shared" si="3"/>
        <v>8690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/>
      <c r="E22" s="3">
        <f t="shared" si="0"/>
        <v>0</v>
      </c>
      <c r="F22" s="4">
        <v>15000</v>
      </c>
      <c r="G22" s="4">
        <f t="shared" si="1"/>
        <v>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2.2999999999999998</v>
      </c>
      <c r="D23" s="3"/>
      <c r="E23" s="3">
        <f t="shared" si="0"/>
        <v>2.2999999999999998</v>
      </c>
      <c r="F23" s="4">
        <v>8000</v>
      </c>
      <c r="G23" s="4">
        <f>F23*E23</f>
        <v>18400</v>
      </c>
      <c r="H23" s="3"/>
      <c r="I23" s="4">
        <f t="shared" si="2"/>
        <v>8000</v>
      </c>
      <c r="J23" s="4">
        <f t="shared" si="3"/>
        <v>0</v>
      </c>
    </row>
    <row r="24" spans="1:10" x14ac:dyDescent="0.25">
      <c r="A24" s="3">
        <v>22</v>
      </c>
      <c r="B24" t="s">
        <v>29</v>
      </c>
      <c r="C24" s="3">
        <v>0.13</v>
      </c>
      <c r="D24" s="3"/>
      <c r="E24" s="3">
        <f t="shared" si="0"/>
        <v>0.13</v>
      </c>
      <c r="F24" s="4">
        <v>8000</v>
      </c>
      <c r="G24" s="4">
        <f t="shared" si="1"/>
        <v>1040</v>
      </c>
      <c r="H24" s="3"/>
      <c r="I24" s="4">
        <f t="shared" si="2"/>
        <v>8000</v>
      </c>
      <c r="J24" s="4">
        <f t="shared" si="3"/>
        <v>0</v>
      </c>
    </row>
    <row r="25" spans="1:10" x14ac:dyDescent="0.25">
      <c r="A25" s="3">
        <v>23</v>
      </c>
      <c r="B25" t="s">
        <v>30</v>
      </c>
      <c r="C25" s="3"/>
      <c r="D25" s="3"/>
      <c r="E25" s="3">
        <f t="shared" si="0"/>
        <v>0</v>
      </c>
      <c r="F25" s="4">
        <v>3000</v>
      </c>
      <c r="G25" s="4">
        <f t="shared" si="1"/>
        <v>0</v>
      </c>
      <c r="H25" s="3"/>
      <c r="I25" s="4">
        <f t="shared" si="2"/>
        <v>3000</v>
      </c>
      <c r="J25" s="4">
        <f t="shared" si="3"/>
        <v>0</v>
      </c>
    </row>
    <row r="26" spans="1:10" x14ac:dyDescent="0.25">
      <c r="A26" s="3">
        <v>24</v>
      </c>
      <c r="B26" t="s">
        <v>31</v>
      </c>
      <c r="C26" s="3">
        <v>0.5</v>
      </c>
      <c r="D26" s="3"/>
      <c r="E26" s="3">
        <f t="shared" si="0"/>
        <v>0.5</v>
      </c>
      <c r="F26" s="4">
        <v>11500</v>
      </c>
      <c r="G26" s="4">
        <f t="shared" si="1"/>
        <v>5750</v>
      </c>
      <c r="H26" s="3"/>
      <c r="I26" s="4">
        <f t="shared" si="2"/>
        <v>11500</v>
      </c>
      <c r="J26" s="4">
        <f t="shared" si="3"/>
        <v>0</v>
      </c>
    </row>
    <row r="27" spans="1:10" x14ac:dyDescent="0.25">
      <c r="A27" s="3">
        <v>25</v>
      </c>
      <c r="B27" t="s">
        <v>32</v>
      </c>
      <c r="C27" s="3">
        <v>0.36</v>
      </c>
      <c r="D27" s="3"/>
      <c r="E27" s="3">
        <f t="shared" si="0"/>
        <v>0.36</v>
      </c>
      <c r="F27" s="4">
        <v>8500</v>
      </c>
      <c r="G27" s="4">
        <f t="shared" si="1"/>
        <v>3060</v>
      </c>
      <c r="H27" s="3"/>
      <c r="I27" s="4">
        <f t="shared" si="2"/>
        <v>8500</v>
      </c>
      <c r="J27" s="4">
        <f t="shared" si="3"/>
        <v>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0.26</v>
      </c>
      <c r="D29" s="3"/>
      <c r="E29" s="3">
        <f t="shared" si="0"/>
        <v>0.26</v>
      </c>
      <c r="F29" s="4">
        <v>24000</v>
      </c>
      <c r="G29" s="4">
        <f t="shared" si="1"/>
        <v>6240</v>
      </c>
      <c r="H29" s="3">
        <v>0.12</v>
      </c>
      <c r="I29" s="4">
        <f t="shared" si="2"/>
        <v>24000</v>
      </c>
      <c r="J29" s="4">
        <f t="shared" si="3"/>
        <v>2880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3</v>
      </c>
      <c r="D34" s="3">
        <v>3</v>
      </c>
      <c r="E34" s="3">
        <f t="shared" si="0"/>
        <v>6</v>
      </c>
      <c r="F34" s="4">
        <v>17500</v>
      </c>
      <c r="G34" s="4">
        <f t="shared" si="1"/>
        <v>105000</v>
      </c>
      <c r="H34" s="3">
        <v>1</v>
      </c>
      <c r="I34" s="4">
        <f t="shared" si="2"/>
        <v>17500</v>
      </c>
      <c r="J34" s="4">
        <f t="shared" si="3"/>
        <v>17500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1</v>
      </c>
      <c r="E41" s="3">
        <f t="shared" si="0"/>
        <v>2</v>
      </c>
      <c r="F41" s="4">
        <v>83000</v>
      </c>
      <c r="G41" s="4">
        <f t="shared" si="1"/>
        <v>166000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/>
      <c r="D42" s="3">
        <v>5</v>
      </c>
      <c r="E42" s="3">
        <f t="shared" si="0"/>
        <v>5</v>
      </c>
      <c r="F42" s="4">
        <v>21000</v>
      </c>
      <c r="G42" s="4">
        <f t="shared" si="1"/>
        <v>105000</v>
      </c>
      <c r="H42" s="3">
        <v>2</v>
      </c>
      <c r="I42" s="4">
        <f t="shared" si="2"/>
        <v>21000</v>
      </c>
      <c r="J42" s="4">
        <f t="shared" si="3"/>
        <v>42000</v>
      </c>
    </row>
    <row r="43" spans="1:10" x14ac:dyDescent="0.25">
      <c r="A43" s="3">
        <v>41</v>
      </c>
      <c r="B43" t="s">
        <v>48</v>
      </c>
      <c r="C43" s="3">
        <v>3</v>
      </c>
      <c r="D43" s="3"/>
      <c r="E43" s="3">
        <f t="shared" si="0"/>
        <v>3</v>
      </c>
      <c r="F43" s="4">
        <v>25000</v>
      </c>
      <c r="G43" s="4">
        <f t="shared" si="1"/>
        <v>75000</v>
      </c>
      <c r="H43" s="3">
        <v>1</v>
      </c>
      <c r="I43" s="4">
        <f t="shared" si="2"/>
        <v>25000</v>
      </c>
      <c r="J43" s="4">
        <f t="shared" si="3"/>
        <v>25000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>
        <v>2</v>
      </c>
      <c r="E45" s="3">
        <f t="shared" si="0"/>
        <v>4</v>
      </c>
      <c r="F45" s="4">
        <v>15500</v>
      </c>
      <c r="G45" s="4">
        <f t="shared" si="1"/>
        <v>62000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23</v>
      </c>
      <c r="D49" s="3"/>
      <c r="E49" s="3">
        <f t="shared" si="0"/>
        <v>23</v>
      </c>
      <c r="F49" s="4">
        <v>6000</v>
      </c>
      <c r="G49" s="4">
        <f t="shared" si="1"/>
        <v>138000</v>
      </c>
      <c r="H49" s="3">
        <v>21</v>
      </c>
      <c r="I49" s="4">
        <f t="shared" si="2"/>
        <v>6000</v>
      </c>
      <c r="J49" s="4">
        <f t="shared" si="3"/>
        <v>126000</v>
      </c>
    </row>
    <row r="50" spans="1:10" x14ac:dyDescent="0.25">
      <c r="A50" s="3">
        <v>48</v>
      </c>
      <c r="B50" t="s">
        <v>55</v>
      </c>
      <c r="C50" s="3">
        <v>75</v>
      </c>
      <c r="D50" s="3"/>
      <c r="E50" s="3">
        <f t="shared" si="0"/>
        <v>75</v>
      </c>
      <c r="F50" s="4"/>
      <c r="G50" s="4">
        <f t="shared" si="1"/>
        <v>0</v>
      </c>
      <c r="H50" s="3">
        <v>66</v>
      </c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1.5</v>
      </c>
      <c r="D51" s="3">
        <v>1</v>
      </c>
      <c r="E51" s="3">
        <f t="shared" si="0"/>
        <v>2.5</v>
      </c>
      <c r="F51" s="4">
        <v>12000</v>
      </c>
      <c r="G51" s="4">
        <f>F51*E51</f>
        <v>30000</v>
      </c>
      <c r="H51" s="3">
        <v>0.54</v>
      </c>
      <c r="I51" s="4">
        <f t="shared" si="2"/>
        <v>12000</v>
      </c>
      <c r="J51" s="4">
        <f t="shared" si="3"/>
        <v>6480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/>
      <c r="D59" s="3"/>
      <c r="E59" s="3">
        <f t="shared" si="0"/>
        <v>0</v>
      </c>
      <c r="F59" s="4">
        <v>20000</v>
      </c>
      <c r="G59" s="4">
        <f t="shared" si="1"/>
        <v>0</v>
      </c>
      <c r="H59" s="3"/>
      <c r="I59" s="4">
        <f t="shared" si="2"/>
        <v>20000</v>
      </c>
      <c r="J59" s="4">
        <f t="shared" si="3"/>
        <v>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14</v>
      </c>
      <c r="D61" s="3">
        <v>7</v>
      </c>
      <c r="E61" s="3">
        <f t="shared" si="0"/>
        <v>21</v>
      </c>
      <c r="F61" s="4">
        <v>5700</v>
      </c>
      <c r="G61" s="4">
        <f t="shared" si="1"/>
        <v>119700</v>
      </c>
      <c r="H61" s="3"/>
      <c r="I61" s="4">
        <f t="shared" si="2"/>
        <v>5700</v>
      </c>
      <c r="J61" s="4">
        <f t="shared" si="3"/>
        <v>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11</v>
      </c>
      <c r="D64" s="3"/>
      <c r="E64" s="3">
        <f t="shared" si="0"/>
        <v>11</v>
      </c>
      <c r="F64" s="4">
        <v>4875</v>
      </c>
      <c r="G64" s="4">
        <f t="shared" si="1"/>
        <v>53625</v>
      </c>
      <c r="H64" s="3">
        <v>8</v>
      </c>
      <c r="I64" s="4">
        <f t="shared" si="2"/>
        <v>4875</v>
      </c>
      <c r="J64" s="4">
        <f t="shared" si="3"/>
        <v>39000</v>
      </c>
    </row>
    <row r="65" spans="1:10" x14ac:dyDescent="0.25">
      <c r="A65" s="3">
        <v>63</v>
      </c>
      <c r="B65" t="s">
        <v>70</v>
      </c>
      <c r="C65" s="3">
        <v>20</v>
      </c>
      <c r="D65" s="3"/>
      <c r="E65" s="3">
        <f t="shared" si="0"/>
        <v>20</v>
      </c>
      <c r="F65" s="4">
        <v>21000</v>
      </c>
      <c r="G65" s="4">
        <f t="shared" si="1"/>
        <v>420000</v>
      </c>
      <c r="H65" s="3">
        <v>18.25</v>
      </c>
      <c r="I65" s="4">
        <f t="shared" si="2"/>
        <v>21000</v>
      </c>
      <c r="J65" s="4">
        <f t="shared" si="3"/>
        <v>383250</v>
      </c>
    </row>
    <row r="66" spans="1:10" x14ac:dyDescent="0.25">
      <c r="A66" s="3">
        <v>64</v>
      </c>
      <c r="B66" t="s">
        <v>115</v>
      </c>
      <c r="C66" s="3">
        <v>0.17</v>
      </c>
      <c r="D66" s="3"/>
      <c r="E66" s="3">
        <f t="shared" si="0"/>
        <v>0.17</v>
      </c>
      <c r="F66" s="4">
        <v>100000</v>
      </c>
      <c r="G66" s="4">
        <f t="shared" si="1"/>
        <v>17000</v>
      </c>
      <c r="H66" s="3"/>
      <c r="I66" s="4">
        <f t="shared" si="2"/>
        <v>100000</v>
      </c>
      <c r="J66" s="4">
        <f t="shared" si="3"/>
        <v>0</v>
      </c>
    </row>
    <row r="67" spans="1:10" x14ac:dyDescent="0.25">
      <c r="A67" s="3">
        <v>65</v>
      </c>
      <c r="B67" t="s">
        <v>71</v>
      </c>
      <c r="C67" s="3">
        <v>0.28999999999999998</v>
      </c>
      <c r="D67" s="3">
        <v>2</v>
      </c>
      <c r="E67" s="3">
        <f t="shared" ref="E67:E83" si="4">C67+D67</f>
        <v>2.29</v>
      </c>
      <c r="F67" s="4">
        <v>17500</v>
      </c>
      <c r="G67" s="4">
        <f t="shared" si="1"/>
        <v>40075</v>
      </c>
      <c r="H67" s="3">
        <v>0.4</v>
      </c>
      <c r="I67" s="4">
        <f t="shared" si="2"/>
        <v>17500</v>
      </c>
      <c r="J67" s="4">
        <f t="shared" si="3"/>
        <v>7000</v>
      </c>
    </row>
    <row r="68" spans="1:10" x14ac:dyDescent="0.25">
      <c r="A68" s="3">
        <v>66</v>
      </c>
      <c r="B68" t="s">
        <v>72</v>
      </c>
      <c r="C68" s="3">
        <v>3</v>
      </c>
      <c r="D68" s="3"/>
      <c r="E68" s="3">
        <f t="shared" si="4"/>
        <v>3</v>
      </c>
      <c r="F68" s="4">
        <v>8000</v>
      </c>
      <c r="G68" s="4">
        <f t="shared" si="1"/>
        <v>24000</v>
      </c>
      <c r="H68" s="3">
        <v>1</v>
      </c>
      <c r="I68" s="4">
        <f t="shared" si="2"/>
        <v>8000</v>
      </c>
      <c r="J68" s="4">
        <f t="shared" si="3"/>
        <v>8000</v>
      </c>
    </row>
    <row r="69" spans="1:10" x14ac:dyDescent="0.25">
      <c r="A69" s="3">
        <v>67</v>
      </c>
      <c r="B69" t="s">
        <v>73</v>
      </c>
      <c r="C69" s="3">
        <v>1.44</v>
      </c>
      <c r="D69" s="3"/>
      <c r="E69" s="3">
        <f t="shared" si="4"/>
        <v>1.44</v>
      </c>
      <c r="F69" s="4">
        <v>31000</v>
      </c>
      <c r="G69" s="4">
        <f t="shared" si="1"/>
        <v>44640</v>
      </c>
      <c r="H69" s="3">
        <v>0.45</v>
      </c>
      <c r="I69" s="4">
        <f t="shared" si="2"/>
        <v>31000</v>
      </c>
      <c r="J69" s="4">
        <f t="shared" ref="J69:J83" si="5">I69*H69</f>
        <v>13950</v>
      </c>
    </row>
    <row r="70" spans="1:10" x14ac:dyDescent="0.25">
      <c r="A70" s="3">
        <v>68</v>
      </c>
      <c r="B70" t="s">
        <v>74</v>
      </c>
      <c r="C70" s="3">
        <v>0.28999999999999998</v>
      </c>
      <c r="D70" s="3">
        <v>1</v>
      </c>
      <c r="E70" s="3">
        <f t="shared" si="4"/>
        <v>1.29</v>
      </c>
      <c r="F70" s="4">
        <v>24000</v>
      </c>
      <c r="G70" s="4">
        <f t="shared" si="1"/>
        <v>30960</v>
      </c>
      <c r="H70" s="3">
        <v>0.65</v>
      </c>
      <c r="I70" s="4">
        <f t="shared" si="2"/>
        <v>24000</v>
      </c>
      <c r="J70" s="4">
        <f t="shared" si="5"/>
        <v>15600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2</v>
      </c>
      <c r="D72" s="3"/>
      <c r="E72" s="3">
        <f t="shared" si="4"/>
        <v>2</v>
      </c>
      <c r="F72" s="4">
        <v>15000</v>
      </c>
      <c r="G72" s="4">
        <f>F72*E72</f>
        <v>30000</v>
      </c>
      <c r="H72" s="3"/>
      <c r="I72" s="4">
        <f t="shared" si="2"/>
        <v>15000</v>
      </c>
      <c r="J72" s="4">
        <f t="shared" si="5"/>
        <v>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13</v>
      </c>
      <c r="D74" s="3"/>
      <c r="E74" s="3">
        <f t="shared" si="4"/>
        <v>13</v>
      </c>
      <c r="F74" s="4"/>
      <c r="G74" s="4">
        <f t="shared" ref="G74:G83" si="6">F74*E74</f>
        <v>0</v>
      </c>
      <c r="H74" s="3">
        <v>12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5</v>
      </c>
      <c r="D75" s="3"/>
      <c r="E75" s="3">
        <f t="shared" si="4"/>
        <v>5</v>
      </c>
      <c r="F75" s="4"/>
      <c r="G75" s="4">
        <f t="shared" si="6"/>
        <v>0</v>
      </c>
      <c r="H75" s="3">
        <v>3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4</v>
      </c>
      <c r="D76" s="3"/>
      <c r="E76" s="3">
        <f t="shared" si="4"/>
        <v>4</v>
      </c>
      <c r="F76" s="4">
        <v>4875</v>
      </c>
      <c r="G76" s="4">
        <f t="shared" si="6"/>
        <v>19500</v>
      </c>
      <c r="H76" s="3">
        <v>3</v>
      </c>
      <c r="I76" s="4">
        <f t="shared" si="7"/>
        <v>4875</v>
      </c>
      <c r="J76" s="4">
        <f t="shared" si="5"/>
        <v>14625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1626290</v>
      </c>
      <c r="H85" s="5"/>
      <c r="I85" s="5"/>
      <c r="J85" s="5">
        <f>SUM(J3:J84)</f>
        <v>859575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24</v>
      </c>
      <c r="D89" s="3"/>
      <c r="E89" s="3">
        <f>C89+D89</f>
        <v>24</v>
      </c>
      <c r="F89" s="4">
        <v>1240</v>
      </c>
      <c r="G89" s="4">
        <f>F89*E89</f>
        <v>29760</v>
      </c>
      <c r="H89" s="3">
        <v>23</v>
      </c>
      <c r="I89" s="4">
        <f>F89</f>
        <v>1240</v>
      </c>
      <c r="J89" s="4">
        <f>I89*H89</f>
        <v>28520</v>
      </c>
    </row>
    <row r="90" spans="1:10" x14ac:dyDescent="0.25">
      <c r="A90" s="3">
        <v>2</v>
      </c>
      <c r="B90" t="s">
        <v>85</v>
      </c>
      <c r="C90" s="3">
        <v>28</v>
      </c>
      <c r="D90" s="3">
        <v>11</v>
      </c>
      <c r="E90" s="3">
        <f>C90+D90</f>
        <v>39</v>
      </c>
      <c r="F90" s="4">
        <v>1000</v>
      </c>
      <c r="G90" s="4">
        <f t="shared" ref="G90:G120" si="8">F90*E90</f>
        <v>39000</v>
      </c>
      <c r="H90" s="3">
        <v>29</v>
      </c>
      <c r="I90" s="4">
        <f t="shared" ref="I90:I120" si="9">F90</f>
        <v>1000</v>
      </c>
      <c r="J90" s="4">
        <f t="shared" ref="J90:J120" si="10">I90*H90</f>
        <v>29000</v>
      </c>
    </row>
    <row r="91" spans="1:10" x14ac:dyDescent="0.25">
      <c r="A91" s="3">
        <v>3</v>
      </c>
      <c r="B91" t="s">
        <v>86</v>
      </c>
      <c r="C91" s="3">
        <v>13</v>
      </c>
      <c r="D91" s="3">
        <v>10</v>
      </c>
      <c r="E91" s="3">
        <f t="shared" ref="E91:E120" si="11">C91+D91</f>
        <v>23</v>
      </c>
      <c r="F91" s="4">
        <v>1650</v>
      </c>
      <c r="G91" s="4">
        <f t="shared" si="8"/>
        <v>37950</v>
      </c>
      <c r="H91" s="3">
        <v>17</v>
      </c>
      <c r="I91" s="4">
        <f t="shared" si="9"/>
        <v>1650</v>
      </c>
      <c r="J91" s="4">
        <f t="shared" si="10"/>
        <v>28050</v>
      </c>
    </row>
    <row r="92" spans="1:10" x14ac:dyDescent="0.25">
      <c r="A92" s="3">
        <v>4</v>
      </c>
      <c r="B92" t="s">
        <v>87</v>
      </c>
      <c r="C92" s="3">
        <v>9</v>
      </c>
      <c r="D92" s="3"/>
      <c r="E92" s="3">
        <f t="shared" si="11"/>
        <v>9</v>
      </c>
      <c r="F92" s="4">
        <v>1650</v>
      </c>
      <c r="G92" s="4">
        <f t="shared" si="8"/>
        <v>14850</v>
      </c>
      <c r="H92" s="3">
        <v>4</v>
      </c>
      <c r="I92" s="4">
        <f t="shared" si="9"/>
        <v>1650</v>
      </c>
      <c r="J92" s="4">
        <f t="shared" si="10"/>
        <v>6600</v>
      </c>
    </row>
    <row r="93" spans="1:10" x14ac:dyDescent="0.25">
      <c r="A93" s="3">
        <v>5</v>
      </c>
      <c r="B93" t="s">
        <v>88</v>
      </c>
      <c r="C93" s="3">
        <v>4</v>
      </c>
      <c r="D93" s="3">
        <v>10</v>
      </c>
      <c r="E93" s="3">
        <f t="shared" si="11"/>
        <v>14</v>
      </c>
      <c r="F93" s="4">
        <v>1750</v>
      </c>
      <c r="G93" s="4">
        <f t="shared" si="8"/>
        <v>24500</v>
      </c>
      <c r="H93" s="3">
        <v>13</v>
      </c>
      <c r="I93" s="4">
        <f t="shared" si="9"/>
        <v>1750</v>
      </c>
      <c r="J93" s="4">
        <f t="shared" si="10"/>
        <v>22750</v>
      </c>
    </row>
    <row r="94" spans="1:10" x14ac:dyDescent="0.25">
      <c r="A94" s="3">
        <v>6</v>
      </c>
      <c r="B94" t="s">
        <v>89</v>
      </c>
      <c r="C94" s="3">
        <v>7</v>
      </c>
      <c r="D94" s="3">
        <v>12</v>
      </c>
      <c r="E94" s="3">
        <f t="shared" si="11"/>
        <v>19</v>
      </c>
      <c r="F94" s="4">
        <v>1500</v>
      </c>
      <c r="G94" s="4">
        <f t="shared" si="8"/>
        <v>28500</v>
      </c>
      <c r="H94" s="3">
        <v>16</v>
      </c>
      <c r="I94" s="4">
        <f t="shared" si="9"/>
        <v>1500</v>
      </c>
      <c r="J94" s="4">
        <f t="shared" si="10"/>
        <v>24000</v>
      </c>
    </row>
    <row r="95" spans="1:10" x14ac:dyDescent="0.25">
      <c r="A95" s="3">
        <v>7</v>
      </c>
      <c r="B95" t="s">
        <v>90</v>
      </c>
      <c r="C95" s="3">
        <v>3</v>
      </c>
      <c r="D95" s="3">
        <v>6</v>
      </c>
      <c r="E95" s="3">
        <f t="shared" si="11"/>
        <v>9</v>
      </c>
      <c r="F95" s="4">
        <v>1500</v>
      </c>
      <c r="G95" s="4">
        <f t="shared" si="8"/>
        <v>13500</v>
      </c>
      <c r="H95" s="3">
        <v>7</v>
      </c>
      <c r="I95" s="4">
        <f t="shared" si="9"/>
        <v>1500</v>
      </c>
      <c r="J95" s="4">
        <f t="shared" si="10"/>
        <v>10500</v>
      </c>
    </row>
    <row r="96" spans="1:10" x14ac:dyDescent="0.25">
      <c r="A96" s="3">
        <v>8</v>
      </c>
      <c r="B96" t="s">
        <v>91</v>
      </c>
      <c r="C96" s="3"/>
      <c r="D96" s="3">
        <v>12</v>
      </c>
      <c r="E96" s="3">
        <f t="shared" si="11"/>
        <v>12</v>
      </c>
      <c r="F96" s="4">
        <v>3350</v>
      </c>
      <c r="G96" s="4">
        <f t="shared" si="8"/>
        <v>40200</v>
      </c>
      <c r="H96" s="3">
        <v>10</v>
      </c>
      <c r="I96" s="4">
        <f t="shared" si="9"/>
        <v>3350</v>
      </c>
      <c r="J96" s="4">
        <f t="shared" si="10"/>
        <v>33500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6</v>
      </c>
      <c r="D98" s="3"/>
      <c r="E98" s="3">
        <f t="shared" si="11"/>
        <v>6</v>
      </c>
      <c r="F98" s="4">
        <v>9000</v>
      </c>
      <c r="G98" s="4">
        <f t="shared" si="8"/>
        <v>54000</v>
      </c>
      <c r="H98" s="3">
        <v>4</v>
      </c>
      <c r="I98" s="4">
        <f t="shared" si="9"/>
        <v>9000</v>
      </c>
      <c r="J98" s="4">
        <f t="shared" si="10"/>
        <v>36000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3</v>
      </c>
      <c r="D100" s="3">
        <v>5</v>
      </c>
      <c r="E100" s="3">
        <f t="shared" si="11"/>
        <v>8</v>
      </c>
      <c r="F100" s="4">
        <v>8000</v>
      </c>
      <c r="G100" s="4">
        <f t="shared" si="8"/>
        <v>64000</v>
      </c>
      <c r="H100" s="3">
        <v>2</v>
      </c>
      <c r="I100" s="4">
        <f t="shared" si="9"/>
        <v>8000</v>
      </c>
      <c r="J100" s="4">
        <f t="shared" si="10"/>
        <v>16000</v>
      </c>
    </row>
    <row r="101" spans="1:10" x14ac:dyDescent="0.25">
      <c r="A101" s="3">
        <v>13</v>
      </c>
      <c r="B101" t="s">
        <v>96</v>
      </c>
      <c r="C101" s="3">
        <v>8</v>
      </c>
      <c r="D101" s="3"/>
      <c r="E101" s="3">
        <f t="shared" si="11"/>
        <v>8</v>
      </c>
      <c r="F101" s="4">
        <v>3300</v>
      </c>
      <c r="G101" s="4">
        <f t="shared" si="8"/>
        <v>26400</v>
      </c>
      <c r="H101" s="3">
        <v>6</v>
      </c>
      <c r="I101" s="4">
        <f t="shared" si="9"/>
        <v>3300</v>
      </c>
      <c r="J101" s="4">
        <f t="shared" si="10"/>
        <v>19800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4</v>
      </c>
      <c r="E111" s="3">
        <f t="shared" si="11"/>
        <v>8</v>
      </c>
      <c r="F111" s="4">
        <v>4000</v>
      </c>
      <c r="G111" s="4">
        <f t="shared" si="8"/>
        <v>32000</v>
      </c>
      <c r="H111" s="3">
        <v>4</v>
      </c>
      <c r="I111" s="4">
        <f t="shared" si="9"/>
        <v>4000</v>
      </c>
      <c r="J111" s="4">
        <f t="shared" si="10"/>
        <v>16000</v>
      </c>
    </row>
    <row r="112" spans="1:10" x14ac:dyDescent="0.25">
      <c r="A112" s="3">
        <v>24</v>
      </c>
      <c r="B112" t="s">
        <v>107</v>
      </c>
      <c r="C112" s="3">
        <v>2</v>
      </c>
      <c r="D112" s="3">
        <v>4</v>
      </c>
      <c r="E112" s="3">
        <f t="shared" si="11"/>
        <v>6</v>
      </c>
      <c r="F112" s="4">
        <v>24000</v>
      </c>
      <c r="G112" s="4">
        <f t="shared" si="8"/>
        <v>144000</v>
      </c>
      <c r="H112" s="3">
        <v>3</v>
      </c>
      <c r="I112" s="4">
        <f t="shared" si="9"/>
        <v>24000</v>
      </c>
      <c r="J112" s="4">
        <f t="shared" si="10"/>
        <v>72000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606660</v>
      </c>
      <c r="H121" s="5"/>
      <c r="I121" s="5"/>
      <c r="J121" s="5">
        <f>SUM(J89:J120)</f>
        <v>371720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1231295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9EA2-6ADD-4589-9CEC-D9924682FC6D}">
  <dimension ref="A1:M268"/>
  <sheetViews>
    <sheetView workbookViewId="0">
      <selection activeCell="D17" sqref="D17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0.32</v>
      </c>
      <c r="D3" s="3">
        <v>0.25</v>
      </c>
      <c r="E3" s="3">
        <f t="shared" ref="E3:E66" si="0">C3+D3</f>
        <v>0.57000000000000006</v>
      </c>
      <c r="F3" s="4">
        <v>36000</v>
      </c>
      <c r="G3" s="4">
        <f>F3*E3</f>
        <v>20520.000000000004</v>
      </c>
      <c r="H3" s="3">
        <v>0.26</v>
      </c>
      <c r="I3" s="4">
        <f>F3</f>
        <v>36000</v>
      </c>
      <c r="J3" s="4">
        <f>I3*H3</f>
        <v>9360</v>
      </c>
    </row>
    <row r="4" spans="1:13" x14ac:dyDescent="0.25">
      <c r="A4" s="3">
        <v>2</v>
      </c>
      <c r="B4" t="s">
        <v>10</v>
      </c>
      <c r="C4" s="3">
        <v>0.23</v>
      </c>
      <c r="D4" s="3"/>
      <c r="E4" s="3">
        <f t="shared" si="0"/>
        <v>0.23</v>
      </c>
      <c r="F4" s="4">
        <v>36000</v>
      </c>
      <c r="G4" s="4">
        <f t="shared" ref="G4:G73" si="1">F4*E4</f>
        <v>8280</v>
      </c>
      <c r="H4" s="3">
        <v>0.23</v>
      </c>
      <c r="I4" s="4">
        <f t="shared" ref="I4:I73" si="2">F4</f>
        <v>36000</v>
      </c>
      <c r="J4" s="4">
        <f t="shared" ref="J4:J68" si="3">I4*H4</f>
        <v>8280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>
        <v>0.11</v>
      </c>
      <c r="D6" s="3"/>
      <c r="E6" s="3">
        <f t="shared" si="0"/>
        <v>0.11</v>
      </c>
      <c r="F6" s="4">
        <v>60000</v>
      </c>
      <c r="G6" s="4">
        <f t="shared" si="1"/>
        <v>6600</v>
      </c>
      <c r="H6" s="3">
        <v>0.03</v>
      </c>
      <c r="I6" s="4">
        <f t="shared" si="2"/>
        <v>60000</v>
      </c>
      <c r="J6" s="4">
        <f t="shared" si="3"/>
        <v>1800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/>
      <c r="I7" s="4">
        <f t="shared" si="2"/>
        <v>40000</v>
      </c>
      <c r="J7" s="4">
        <f t="shared" si="3"/>
        <v>0</v>
      </c>
    </row>
    <row r="8" spans="1:13" x14ac:dyDescent="0.25">
      <c r="A8" s="3">
        <v>6</v>
      </c>
      <c r="B8" t="s">
        <v>14</v>
      </c>
      <c r="C8" s="3"/>
      <c r="D8" s="3">
        <v>0.25</v>
      </c>
      <c r="E8" s="3">
        <f t="shared" si="0"/>
        <v>0.25</v>
      </c>
      <c r="F8" s="4">
        <v>50000</v>
      </c>
      <c r="G8" s="4">
        <f t="shared" si="1"/>
        <v>12500</v>
      </c>
      <c r="H8" s="3">
        <v>0.1</v>
      </c>
      <c r="I8" s="4">
        <f t="shared" si="2"/>
        <v>50000</v>
      </c>
      <c r="J8" s="4">
        <f t="shared" si="3"/>
        <v>5000</v>
      </c>
    </row>
    <row r="9" spans="1:13" x14ac:dyDescent="0.25">
      <c r="A9" s="3">
        <v>7</v>
      </c>
      <c r="B9" t="s">
        <v>15</v>
      </c>
      <c r="C9" s="3"/>
      <c r="D9" s="3"/>
      <c r="E9" s="3">
        <f t="shared" si="0"/>
        <v>0</v>
      </c>
      <c r="F9" s="4">
        <v>13000</v>
      </c>
      <c r="G9" s="4">
        <f t="shared" si="1"/>
        <v>0</v>
      </c>
      <c r="H9" s="3"/>
      <c r="I9" s="4">
        <f t="shared" si="2"/>
        <v>13000</v>
      </c>
      <c r="J9" s="4">
        <f t="shared" si="3"/>
        <v>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0.46</v>
      </c>
      <c r="D19" s="3">
        <v>1</v>
      </c>
      <c r="E19" s="3">
        <f t="shared" si="0"/>
        <v>1.46</v>
      </c>
      <c r="F19" s="4">
        <v>20000</v>
      </c>
      <c r="G19" s="4">
        <f t="shared" si="1"/>
        <v>29200</v>
      </c>
      <c r="H19" s="3">
        <v>0.44</v>
      </c>
      <c r="I19" s="4">
        <f t="shared" si="2"/>
        <v>20000</v>
      </c>
      <c r="J19" s="4">
        <f t="shared" si="3"/>
        <v>8800</v>
      </c>
    </row>
    <row r="20" spans="1:10" x14ac:dyDescent="0.25">
      <c r="A20" s="3">
        <v>18</v>
      </c>
      <c r="B20" t="s">
        <v>25</v>
      </c>
      <c r="C20" s="3">
        <v>0.79</v>
      </c>
      <c r="D20" s="3">
        <v>3</v>
      </c>
      <c r="E20" s="3">
        <f t="shared" si="0"/>
        <v>3.79</v>
      </c>
      <c r="F20" s="4">
        <v>11000</v>
      </c>
      <c r="G20" s="4">
        <f t="shared" si="1"/>
        <v>41690</v>
      </c>
      <c r="H20" s="3">
        <v>2.5</v>
      </c>
      <c r="I20" s="4">
        <f t="shared" si="2"/>
        <v>11000</v>
      </c>
      <c r="J20" s="4">
        <f t="shared" si="3"/>
        <v>27500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/>
      <c r="D22" s="3">
        <v>0.25</v>
      </c>
      <c r="E22" s="3">
        <f t="shared" si="0"/>
        <v>0.25</v>
      </c>
      <c r="F22" s="4">
        <v>15000</v>
      </c>
      <c r="G22" s="4">
        <f t="shared" si="1"/>
        <v>3750</v>
      </c>
      <c r="H22" s="3">
        <v>0.25</v>
      </c>
      <c r="I22" s="4">
        <f t="shared" si="2"/>
        <v>15000</v>
      </c>
      <c r="J22" s="4">
        <f t="shared" si="3"/>
        <v>3750</v>
      </c>
    </row>
    <row r="23" spans="1:10" x14ac:dyDescent="0.25">
      <c r="A23" s="3">
        <v>21</v>
      </c>
      <c r="B23" t="s">
        <v>28</v>
      </c>
      <c r="C23" s="3"/>
      <c r="D23" s="3">
        <v>2</v>
      </c>
      <c r="E23" s="3">
        <f t="shared" si="0"/>
        <v>2</v>
      </c>
      <c r="F23" s="4">
        <v>8000</v>
      </c>
      <c r="G23" s="4">
        <f>F23*E23</f>
        <v>16000</v>
      </c>
      <c r="H23" s="3">
        <v>0.5</v>
      </c>
      <c r="I23" s="4">
        <f t="shared" si="2"/>
        <v>8000</v>
      </c>
      <c r="J23" s="4">
        <f t="shared" si="3"/>
        <v>4000</v>
      </c>
    </row>
    <row r="24" spans="1:10" x14ac:dyDescent="0.25">
      <c r="A24" s="3">
        <v>22</v>
      </c>
      <c r="B24" t="s">
        <v>29</v>
      </c>
      <c r="C24" s="3"/>
      <c r="D24" s="3">
        <v>0.41</v>
      </c>
      <c r="E24" s="3">
        <f t="shared" si="0"/>
        <v>0.41</v>
      </c>
      <c r="F24" s="4">
        <v>8000</v>
      </c>
      <c r="G24" s="4">
        <f t="shared" si="1"/>
        <v>3280</v>
      </c>
      <c r="H24" s="3">
        <v>0.17</v>
      </c>
      <c r="I24" s="4">
        <f t="shared" si="2"/>
        <v>8000</v>
      </c>
      <c r="J24" s="4">
        <f t="shared" si="3"/>
        <v>1360</v>
      </c>
    </row>
    <row r="25" spans="1:10" x14ac:dyDescent="0.25">
      <c r="A25" s="3">
        <v>23</v>
      </c>
      <c r="B25" t="s">
        <v>30</v>
      </c>
      <c r="C25" s="3"/>
      <c r="D25" s="3">
        <v>2</v>
      </c>
      <c r="E25" s="3">
        <f t="shared" si="0"/>
        <v>2</v>
      </c>
      <c r="F25" s="4">
        <v>3000</v>
      </c>
      <c r="G25" s="4">
        <f t="shared" si="1"/>
        <v>6000</v>
      </c>
      <c r="H25" s="3">
        <v>1</v>
      </c>
      <c r="I25" s="4">
        <f t="shared" si="2"/>
        <v>3000</v>
      </c>
      <c r="J25" s="4">
        <f t="shared" si="3"/>
        <v>3000</v>
      </c>
    </row>
    <row r="26" spans="1:10" x14ac:dyDescent="0.25">
      <c r="A26" s="3">
        <v>24</v>
      </c>
      <c r="B26" t="s">
        <v>31</v>
      </c>
      <c r="C26" s="3"/>
      <c r="D26" s="3">
        <v>2</v>
      </c>
      <c r="E26" s="3">
        <f t="shared" si="0"/>
        <v>2</v>
      </c>
      <c r="F26" s="4">
        <v>11500</v>
      </c>
      <c r="G26" s="4">
        <f t="shared" si="1"/>
        <v>23000</v>
      </c>
      <c r="H26" s="3">
        <v>0.64</v>
      </c>
      <c r="I26" s="4">
        <f t="shared" si="2"/>
        <v>11500</v>
      </c>
      <c r="J26" s="4">
        <f t="shared" si="3"/>
        <v>7360</v>
      </c>
    </row>
    <row r="27" spans="1:10" x14ac:dyDescent="0.25">
      <c r="A27" s="3">
        <v>25</v>
      </c>
      <c r="B27" t="s">
        <v>32</v>
      </c>
      <c r="C27" s="3"/>
      <c r="D27" s="3">
        <v>1</v>
      </c>
      <c r="E27" s="3">
        <f t="shared" si="0"/>
        <v>1</v>
      </c>
      <c r="F27" s="4">
        <v>8500</v>
      </c>
      <c r="G27" s="4">
        <f t="shared" si="1"/>
        <v>8500</v>
      </c>
      <c r="H27" s="3">
        <v>1</v>
      </c>
      <c r="I27" s="4">
        <f t="shared" si="2"/>
        <v>8500</v>
      </c>
      <c r="J27" s="4">
        <f t="shared" si="3"/>
        <v>8500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0.12</v>
      </c>
      <c r="D29" s="3">
        <v>0.25</v>
      </c>
      <c r="E29" s="3">
        <f t="shared" si="0"/>
        <v>0.37</v>
      </c>
      <c r="F29" s="4">
        <v>24000</v>
      </c>
      <c r="G29" s="4">
        <f t="shared" si="1"/>
        <v>8880</v>
      </c>
      <c r="H29" s="3">
        <v>0.2</v>
      </c>
      <c r="I29" s="4">
        <f t="shared" si="2"/>
        <v>24000</v>
      </c>
      <c r="J29" s="4">
        <f t="shared" si="3"/>
        <v>4800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1</v>
      </c>
      <c r="D34" s="3">
        <v>5</v>
      </c>
      <c r="E34" s="3">
        <f t="shared" si="0"/>
        <v>6</v>
      </c>
      <c r="F34" s="4">
        <v>17500</v>
      </c>
      <c r="G34" s="4">
        <f t="shared" si="1"/>
        <v>105000</v>
      </c>
      <c r="H34" s="3">
        <v>2</v>
      </c>
      <c r="I34" s="4">
        <f t="shared" si="2"/>
        <v>17500</v>
      </c>
      <c r="J34" s="4">
        <f t="shared" si="3"/>
        <v>35000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2</v>
      </c>
      <c r="E41" s="3">
        <f t="shared" si="0"/>
        <v>3</v>
      </c>
      <c r="F41" s="4">
        <v>83000</v>
      </c>
      <c r="G41" s="4">
        <f t="shared" si="1"/>
        <v>249000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2</v>
      </c>
      <c r="D42" s="3">
        <v>4</v>
      </c>
      <c r="E42" s="3">
        <f t="shared" si="0"/>
        <v>6</v>
      </c>
      <c r="F42" s="4">
        <v>21000</v>
      </c>
      <c r="G42" s="4">
        <f t="shared" si="1"/>
        <v>126000</v>
      </c>
      <c r="H42" s="3">
        <v>2</v>
      </c>
      <c r="I42" s="4">
        <f t="shared" si="2"/>
        <v>21000</v>
      </c>
      <c r="J42" s="4">
        <f t="shared" si="3"/>
        <v>42000</v>
      </c>
    </row>
    <row r="43" spans="1:10" x14ac:dyDescent="0.25">
      <c r="A43" s="3">
        <v>41</v>
      </c>
      <c r="B43" t="s">
        <v>48</v>
      </c>
      <c r="C43" s="3">
        <v>1</v>
      </c>
      <c r="D43" s="3">
        <v>10</v>
      </c>
      <c r="E43" s="3">
        <f t="shared" si="0"/>
        <v>11</v>
      </c>
      <c r="F43" s="4">
        <v>25000</v>
      </c>
      <c r="G43" s="4">
        <f t="shared" si="1"/>
        <v>275000</v>
      </c>
      <c r="H43" s="3">
        <v>8.5</v>
      </c>
      <c r="I43" s="4">
        <f t="shared" si="2"/>
        <v>25000</v>
      </c>
      <c r="J43" s="4">
        <f t="shared" si="3"/>
        <v>212500</v>
      </c>
    </row>
    <row r="44" spans="1:10" x14ac:dyDescent="0.25">
      <c r="A44" s="3">
        <v>42</v>
      </c>
      <c r="B44" t="s">
        <v>49</v>
      </c>
      <c r="C44" s="3"/>
      <c r="D44" s="3"/>
      <c r="E44" s="3">
        <f t="shared" si="0"/>
        <v>0</v>
      </c>
      <c r="F44" s="4">
        <v>5500</v>
      </c>
      <c r="G44" s="4">
        <f t="shared" si="1"/>
        <v>0</v>
      </c>
      <c r="H44" s="3"/>
      <c r="I44" s="4">
        <f t="shared" si="2"/>
        <v>5500</v>
      </c>
      <c r="J44" s="4">
        <f t="shared" si="3"/>
        <v>0</v>
      </c>
    </row>
    <row r="45" spans="1:10" x14ac:dyDescent="0.25">
      <c r="A45" s="3">
        <v>43</v>
      </c>
      <c r="B45" t="s">
        <v>50</v>
      </c>
      <c r="C45" s="3">
        <v>2</v>
      </c>
      <c r="D45" s="3">
        <v>2</v>
      </c>
      <c r="E45" s="3">
        <f t="shared" si="0"/>
        <v>4</v>
      </c>
      <c r="F45" s="4">
        <v>15500</v>
      </c>
      <c r="G45" s="4">
        <f t="shared" si="1"/>
        <v>62000</v>
      </c>
      <c r="H45" s="3">
        <v>2</v>
      </c>
      <c r="I45" s="4">
        <f t="shared" si="2"/>
        <v>15500</v>
      </c>
      <c r="J45" s="4">
        <f t="shared" si="3"/>
        <v>31000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21</v>
      </c>
      <c r="D49" s="3"/>
      <c r="E49" s="3">
        <f t="shared" si="0"/>
        <v>21</v>
      </c>
      <c r="F49" s="4">
        <v>6000</v>
      </c>
      <c r="G49" s="4">
        <f t="shared" si="1"/>
        <v>126000</v>
      </c>
      <c r="H49" s="3">
        <v>18</v>
      </c>
      <c r="I49" s="4">
        <f t="shared" si="2"/>
        <v>6000</v>
      </c>
      <c r="J49" s="4">
        <f t="shared" si="3"/>
        <v>108000</v>
      </c>
    </row>
    <row r="50" spans="1:10" x14ac:dyDescent="0.25">
      <c r="A50" s="3">
        <v>48</v>
      </c>
      <c r="B50" t="s">
        <v>55</v>
      </c>
      <c r="C50" s="3">
        <v>66</v>
      </c>
      <c r="D50" s="3"/>
      <c r="E50" s="3">
        <f t="shared" si="0"/>
        <v>66</v>
      </c>
      <c r="F50" s="4"/>
      <c r="G50" s="4">
        <f t="shared" si="1"/>
        <v>0</v>
      </c>
      <c r="H50" s="3">
        <v>55</v>
      </c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0.54</v>
      </c>
      <c r="D51" s="3">
        <v>2</v>
      </c>
      <c r="E51" s="3">
        <f t="shared" si="0"/>
        <v>2.54</v>
      </c>
      <c r="F51" s="4">
        <v>12000</v>
      </c>
      <c r="G51" s="4">
        <f>F51*E51</f>
        <v>30480</v>
      </c>
      <c r="H51" s="3">
        <v>1.5</v>
      </c>
      <c r="I51" s="4">
        <f t="shared" si="2"/>
        <v>12000</v>
      </c>
      <c r="J51" s="4">
        <f t="shared" si="3"/>
        <v>18000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0.25</v>
      </c>
      <c r="D59" s="3">
        <v>1</v>
      </c>
      <c r="E59" s="3">
        <f t="shared" si="0"/>
        <v>1.25</v>
      </c>
      <c r="F59" s="4">
        <v>20000</v>
      </c>
      <c r="G59" s="4">
        <f t="shared" si="1"/>
        <v>25000</v>
      </c>
      <c r="H59" s="3">
        <v>1.25</v>
      </c>
      <c r="I59" s="4">
        <f t="shared" si="2"/>
        <v>20000</v>
      </c>
      <c r="J59" s="4">
        <f t="shared" si="3"/>
        <v>25000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/>
      <c r="D61" s="3">
        <v>21</v>
      </c>
      <c r="E61" s="3">
        <f t="shared" si="0"/>
        <v>21</v>
      </c>
      <c r="F61" s="4">
        <v>5700</v>
      </c>
      <c r="G61" s="4">
        <f t="shared" si="1"/>
        <v>119700</v>
      </c>
      <c r="H61" s="3">
        <v>14</v>
      </c>
      <c r="I61" s="4">
        <f t="shared" si="2"/>
        <v>5700</v>
      </c>
      <c r="J61" s="4">
        <f t="shared" si="3"/>
        <v>79800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8</v>
      </c>
      <c r="D64" s="3"/>
      <c r="E64" s="3">
        <f t="shared" si="0"/>
        <v>8</v>
      </c>
      <c r="F64" s="4">
        <v>4875</v>
      </c>
      <c r="G64" s="4">
        <f t="shared" si="1"/>
        <v>39000</v>
      </c>
      <c r="H64" s="3">
        <v>7</v>
      </c>
      <c r="I64" s="4">
        <f t="shared" si="2"/>
        <v>4875</v>
      </c>
      <c r="J64" s="4">
        <f t="shared" si="3"/>
        <v>34125</v>
      </c>
    </row>
    <row r="65" spans="1:10" x14ac:dyDescent="0.25">
      <c r="A65" s="3">
        <v>63</v>
      </c>
      <c r="B65" t="s">
        <v>70</v>
      </c>
      <c r="C65" s="3">
        <v>18.25</v>
      </c>
      <c r="D65" s="3"/>
      <c r="E65" s="3">
        <f t="shared" si="0"/>
        <v>18.25</v>
      </c>
      <c r="F65" s="4">
        <v>21000</v>
      </c>
      <c r="G65" s="4">
        <f t="shared" si="1"/>
        <v>383250</v>
      </c>
      <c r="H65" s="3">
        <v>12.25</v>
      </c>
      <c r="I65" s="4">
        <f t="shared" si="2"/>
        <v>21000</v>
      </c>
      <c r="J65" s="4">
        <f t="shared" si="3"/>
        <v>257250</v>
      </c>
    </row>
    <row r="66" spans="1:10" x14ac:dyDescent="0.25">
      <c r="A66" s="3">
        <v>64</v>
      </c>
      <c r="B66" t="s">
        <v>115</v>
      </c>
      <c r="C66" s="3"/>
      <c r="D66" s="3">
        <v>1</v>
      </c>
      <c r="E66" s="3">
        <f t="shared" si="0"/>
        <v>1</v>
      </c>
      <c r="F66" s="4">
        <v>100000</v>
      </c>
      <c r="G66" s="4">
        <f t="shared" si="1"/>
        <v>100000</v>
      </c>
      <c r="H66" s="3">
        <v>0.6</v>
      </c>
      <c r="I66" s="4">
        <f t="shared" si="2"/>
        <v>100000</v>
      </c>
      <c r="J66" s="4">
        <f t="shared" si="3"/>
        <v>60000</v>
      </c>
    </row>
    <row r="67" spans="1:10" x14ac:dyDescent="0.25">
      <c r="A67" s="3">
        <v>65</v>
      </c>
      <c r="B67" t="s">
        <v>71</v>
      </c>
      <c r="C67" s="3">
        <v>1.4</v>
      </c>
      <c r="D67" s="3">
        <v>2</v>
      </c>
      <c r="E67" s="3">
        <f t="shared" ref="E67:E83" si="4">C67+D67</f>
        <v>3.4</v>
      </c>
      <c r="F67" s="4">
        <v>17500</v>
      </c>
      <c r="G67" s="4">
        <f t="shared" si="1"/>
        <v>59500</v>
      </c>
      <c r="H67" s="3">
        <v>2</v>
      </c>
      <c r="I67" s="4">
        <f t="shared" si="2"/>
        <v>17500</v>
      </c>
      <c r="J67" s="4">
        <f t="shared" si="3"/>
        <v>35000</v>
      </c>
    </row>
    <row r="68" spans="1:10" x14ac:dyDescent="0.25">
      <c r="A68" s="3">
        <v>66</v>
      </c>
      <c r="B68" t="s">
        <v>72</v>
      </c>
      <c r="C68" s="3">
        <v>1</v>
      </c>
      <c r="D68" s="3">
        <v>4</v>
      </c>
      <c r="E68" s="3">
        <f t="shared" si="4"/>
        <v>5</v>
      </c>
      <c r="F68" s="4">
        <v>8000</v>
      </c>
      <c r="G68" s="4">
        <f t="shared" si="1"/>
        <v>40000</v>
      </c>
      <c r="H68" s="3">
        <v>2</v>
      </c>
      <c r="I68" s="4">
        <f t="shared" si="2"/>
        <v>8000</v>
      </c>
      <c r="J68" s="4">
        <f t="shared" si="3"/>
        <v>16000</v>
      </c>
    </row>
    <row r="69" spans="1:10" x14ac:dyDescent="0.25">
      <c r="A69" s="3">
        <v>67</v>
      </c>
      <c r="B69" t="s">
        <v>73</v>
      </c>
      <c r="C69" s="3">
        <v>0.45</v>
      </c>
      <c r="D69" s="3">
        <v>1</v>
      </c>
      <c r="E69" s="3">
        <f t="shared" si="4"/>
        <v>1.45</v>
      </c>
      <c r="F69" s="4">
        <v>31000</v>
      </c>
      <c r="G69" s="4">
        <f t="shared" si="1"/>
        <v>44950</v>
      </c>
      <c r="H69" s="3">
        <v>0.65</v>
      </c>
      <c r="I69" s="4">
        <f t="shared" si="2"/>
        <v>31000</v>
      </c>
      <c r="J69" s="4">
        <f t="shared" ref="J69:J83" si="5">I69*H69</f>
        <v>20150</v>
      </c>
    </row>
    <row r="70" spans="1:10" x14ac:dyDescent="0.25">
      <c r="A70" s="3">
        <v>68</v>
      </c>
      <c r="B70" t="s">
        <v>74</v>
      </c>
      <c r="C70" s="3">
        <v>0.65</v>
      </c>
      <c r="D70" s="3"/>
      <c r="E70" s="3">
        <f t="shared" si="4"/>
        <v>0.65</v>
      </c>
      <c r="F70" s="4">
        <v>24000</v>
      </c>
      <c r="G70" s="4">
        <f t="shared" si="1"/>
        <v>15600</v>
      </c>
      <c r="H70" s="3">
        <v>0.28999999999999998</v>
      </c>
      <c r="I70" s="4">
        <f t="shared" si="2"/>
        <v>24000</v>
      </c>
      <c r="J70" s="4">
        <f t="shared" si="5"/>
        <v>6959.9999999999991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>
        <v>2</v>
      </c>
      <c r="E72" s="3">
        <f t="shared" si="4"/>
        <v>3</v>
      </c>
      <c r="F72" s="4">
        <v>15000</v>
      </c>
      <c r="G72" s="4">
        <f>F72*E72</f>
        <v>45000</v>
      </c>
      <c r="H72" s="3">
        <v>1</v>
      </c>
      <c r="I72" s="4">
        <f t="shared" si="2"/>
        <v>15000</v>
      </c>
      <c r="J72" s="4">
        <f t="shared" si="5"/>
        <v>15000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12</v>
      </c>
      <c r="D74" s="3"/>
      <c r="E74" s="3">
        <f t="shared" si="4"/>
        <v>12</v>
      </c>
      <c r="F74" s="4"/>
      <c r="G74" s="4">
        <f t="shared" ref="G74:G83" si="6">F74*E74</f>
        <v>0</v>
      </c>
      <c r="H74" s="3">
        <v>12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3</v>
      </c>
      <c r="D75" s="3"/>
      <c r="E75" s="3">
        <f t="shared" si="4"/>
        <v>3</v>
      </c>
      <c r="F75" s="4"/>
      <c r="G75" s="4">
        <f t="shared" si="6"/>
        <v>0</v>
      </c>
      <c r="H75" s="3">
        <v>3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>
        <v>3</v>
      </c>
      <c r="D76" s="3"/>
      <c r="E76" s="3">
        <f t="shared" si="4"/>
        <v>3</v>
      </c>
      <c r="F76" s="4">
        <v>4875</v>
      </c>
      <c r="G76" s="4">
        <f t="shared" si="6"/>
        <v>14625</v>
      </c>
      <c r="H76" s="3"/>
      <c r="I76" s="4">
        <f t="shared" si="7"/>
        <v>4875</v>
      </c>
      <c r="J76" s="4">
        <f t="shared" si="5"/>
        <v>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2058305</v>
      </c>
      <c r="H85" s="5"/>
      <c r="I85" s="5"/>
      <c r="J85" s="5">
        <f>SUM(J3:J84)</f>
        <v>1172295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23</v>
      </c>
      <c r="D89" s="3"/>
      <c r="E89" s="3">
        <f>C89+D89</f>
        <v>23</v>
      </c>
      <c r="F89" s="4">
        <v>1240</v>
      </c>
      <c r="G89" s="4">
        <f>F89*E89</f>
        <v>28520</v>
      </c>
      <c r="H89" s="3">
        <v>23</v>
      </c>
      <c r="I89" s="4">
        <f>F89</f>
        <v>1240</v>
      </c>
      <c r="J89" s="4">
        <f>I89*H89</f>
        <v>28520</v>
      </c>
    </row>
    <row r="90" spans="1:10" x14ac:dyDescent="0.25">
      <c r="A90" s="3">
        <v>2</v>
      </c>
      <c r="B90" t="s">
        <v>85</v>
      </c>
      <c r="C90" s="3">
        <v>29</v>
      </c>
      <c r="D90" s="3">
        <v>11</v>
      </c>
      <c r="E90" s="3">
        <f>C90+D90</f>
        <v>40</v>
      </c>
      <c r="F90" s="4">
        <v>1000</v>
      </c>
      <c r="G90" s="4">
        <f t="shared" ref="G90:G120" si="8">F90*E90</f>
        <v>40000</v>
      </c>
      <c r="H90" s="3">
        <v>30</v>
      </c>
      <c r="I90" s="4">
        <f t="shared" ref="I90:I120" si="9">F90</f>
        <v>1000</v>
      </c>
      <c r="J90" s="4">
        <f t="shared" ref="J90:J120" si="10">I90*H90</f>
        <v>30000</v>
      </c>
    </row>
    <row r="91" spans="1:10" x14ac:dyDescent="0.25">
      <c r="A91" s="3">
        <v>3</v>
      </c>
      <c r="B91" t="s">
        <v>86</v>
      </c>
      <c r="C91" s="3">
        <v>17</v>
      </c>
      <c r="D91" s="3">
        <v>10</v>
      </c>
      <c r="E91" s="3">
        <f t="shared" ref="E91:E120" si="11">C91+D91</f>
        <v>27</v>
      </c>
      <c r="F91" s="4">
        <v>1650</v>
      </c>
      <c r="G91" s="4">
        <f t="shared" si="8"/>
        <v>44550</v>
      </c>
      <c r="H91" s="3">
        <v>8</v>
      </c>
      <c r="I91" s="4">
        <f t="shared" si="9"/>
        <v>1650</v>
      </c>
      <c r="J91" s="4">
        <f t="shared" si="10"/>
        <v>13200</v>
      </c>
    </row>
    <row r="92" spans="1:10" x14ac:dyDescent="0.25">
      <c r="A92" s="3">
        <v>4</v>
      </c>
      <c r="B92" t="s">
        <v>87</v>
      </c>
      <c r="C92" s="3">
        <v>4</v>
      </c>
      <c r="D92" s="3"/>
      <c r="E92" s="3">
        <f t="shared" si="11"/>
        <v>4</v>
      </c>
      <c r="F92" s="4">
        <v>1650</v>
      </c>
      <c r="G92" s="4">
        <f t="shared" si="8"/>
        <v>6600</v>
      </c>
      <c r="H92" s="3"/>
      <c r="I92" s="4">
        <f t="shared" si="9"/>
        <v>1650</v>
      </c>
      <c r="J92" s="4">
        <f t="shared" si="10"/>
        <v>0</v>
      </c>
    </row>
    <row r="93" spans="1:10" x14ac:dyDescent="0.25">
      <c r="A93" s="3">
        <v>5</v>
      </c>
      <c r="B93" t="s">
        <v>88</v>
      </c>
      <c r="C93" s="3">
        <v>13</v>
      </c>
      <c r="D93" s="3"/>
      <c r="E93" s="3">
        <f t="shared" si="11"/>
        <v>13</v>
      </c>
      <c r="F93" s="4">
        <v>1750</v>
      </c>
      <c r="G93" s="4">
        <f t="shared" si="8"/>
        <v>22750</v>
      </c>
      <c r="H93" s="3">
        <v>12</v>
      </c>
      <c r="I93" s="4">
        <f t="shared" si="9"/>
        <v>1750</v>
      </c>
      <c r="J93" s="4">
        <f t="shared" si="10"/>
        <v>21000</v>
      </c>
    </row>
    <row r="94" spans="1:10" x14ac:dyDescent="0.25">
      <c r="A94" s="3">
        <v>6</v>
      </c>
      <c r="B94" t="s">
        <v>89</v>
      </c>
      <c r="C94" s="3">
        <v>16</v>
      </c>
      <c r="D94" s="3">
        <v>12</v>
      </c>
      <c r="E94" s="3">
        <f t="shared" si="11"/>
        <v>28</v>
      </c>
      <c r="F94" s="4">
        <v>1500</v>
      </c>
      <c r="G94" s="4">
        <f t="shared" si="8"/>
        <v>42000</v>
      </c>
      <c r="H94" s="3">
        <v>17</v>
      </c>
      <c r="I94" s="4">
        <f t="shared" si="9"/>
        <v>1500</v>
      </c>
      <c r="J94" s="4">
        <f t="shared" si="10"/>
        <v>25500</v>
      </c>
    </row>
    <row r="95" spans="1:10" x14ac:dyDescent="0.25">
      <c r="A95" s="3">
        <v>7</v>
      </c>
      <c r="B95" t="s">
        <v>90</v>
      </c>
      <c r="C95" s="3">
        <v>7</v>
      </c>
      <c r="D95" s="3"/>
      <c r="E95" s="3">
        <f t="shared" si="11"/>
        <v>7</v>
      </c>
      <c r="F95" s="4">
        <v>1500</v>
      </c>
      <c r="G95" s="4">
        <f t="shared" si="8"/>
        <v>10500</v>
      </c>
      <c r="H95" s="3">
        <v>5</v>
      </c>
      <c r="I95" s="4">
        <f t="shared" si="9"/>
        <v>1500</v>
      </c>
      <c r="J95" s="4">
        <f t="shared" si="10"/>
        <v>7500</v>
      </c>
    </row>
    <row r="96" spans="1:10" x14ac:dyDescent="0.25">
      <c r="A96" s="3">
        <v>8</v>
      </c>
      <c r="B96" t="s">
        <v>91</v>
      </c>
      <c r="C96" s="3">
        <v>10</v>
      </c>
      <c r="D96" s="3"/>
      <c r="E96" s="3">
        <f t="shared" si="11"/>
        <v>10</v>
      </c>
      <c r="F96" s="4">
        <v>3350</v>
      </c>
      <c r="G96" s="4">
        <f t="shared" si="8"/>
        <v>33500</v>
      </c>
      <c r="H96" s="3">
        <v>5</v>
      </c>
      <c r="I96" s="4">
        <f t="shared" si="9"/>
        <v>3350</v>
      </c>
      <c r="J96" s="4">
        <f t="shared" si="10"/>
        <v>16750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8"/>
        <v>46000</v>
      </c>
      <c r="H97" s="3">
        <v>1</v>
      </c>
      <c r="I97" s="4">
        <f t="shared" si="9"/>
        <v>23000</v>
      </c>
      <c r="J97" s="4">
        <f t="shared" si="10"/>
        <v>23000</v>
      </c>
    </row>
    <row r="98" spans="1:10" x14ac:dyDescent="0.25">
      <c r="A98" s="3">
        <v>10</v>
      </c>
      <c r="B98" t="s">
        <v>93</v>
      </c>
      <c r="C98" s="3">
        <v>4</v>
      </c>
      <c r="D98" s="3"/>
      <c r="E98" s="3">
        <f t="shared" si="11"/>
        <v>4</v>
      </c>
      <c r="F98" s="4">
        <v>9000</v>
      </c>
      <c r="G98" s="4">
        <f t="shared" si="8"/>
        <v>36000</v>
      </c>
      <c r="H98" s="3">
        <v>2</v>
      </c>
      <c r="I98" s="4">
        <f t="shared" si="9"/>
        <v>9000</v>
      </c>
      <c r="J98" s="4">
        <f t="shared" si="10"/>
        <v>18000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8"/>
        <v>12000</v>
      </c>
      <c r="H99" s="3">
        <v>1</v>
      </c>
      <c r="I99" s="4">
        <f t="shared" si="9"/>
        <v>6000</v>
      </c>
      <c r="J99" s="4">
        <f t="shared" si="10"/>
        <v>6000</v>
      </c>
    </row>
    <row r="100" spans="1:10" x14ac:dyDescent="0.25">
      <c r="A100" s="3">
        <v>12</v>
      </c>
      <c r="B100" t="s">
        <v>95</v>
      </c>
      <c r="C100" s="3">
        <v>2</v>
      </c>
      <c r="D100" s="3">
        <v>5</v>
      </c>
      <c r="E100" s="3">
        <f t="shared" si="11"/>
        <v>7</v>
      </c>
      <c r="F100" s="4">
        <v>8000</v>
      </c>
      <c r="G100" s="4">
        <f t="shared" si="8"/>
        <v>56000</v>
      </c>
      <c r="H100" s="3">
        <v>2</v>
      </c>
      <c r="I100" s="4">
        <f t="shared" si="9"/>
        <v>8000</v>
      </c>
      <c r="J100" s="4">
        <f t="shared" si="10"/>
        <v>16000</v>
      </c>
    </row>
    <row r="101" spans="1:10" x14ac:dyDescent="0.25">
      <c r="A101" s="3">
        <v>13</v>
      </c>
      <c r="B101" t="s">
        <v>96</v>
      </c>
      <c r="C101" s="3">
        <v>6</v>
      </c>
      <c r="D101" s="3"/>
      <c r="E101" s="3">
        <f t="shared" si="11"/>
        <v>6</v>
      </c>
      <c r="F101" s="4">
        <v>3300</v>
      </c>
      <c r="G101" s="4">
        <f t="shared" si="8"/>
        <v>19800</v>
      </c>
      <c r="H101" s="3">
        <v>5</v>
      </c>
      <c r="I101" s="4">
        <f t="shared" si="9"/>
        <v>3300</v>
      </c>
      <c r="J101" s="4">
        <f t="shared" si="10"/>
        <v>16500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8"/>
        <v>0</v>
      </c>
      <c r="H102" s="3"/>
      <c r="I102" s="4">
        <f t="shared" si="9"/>
        <v>0</v>
      </c>
      <c r="J102" s="4">
        <f t="shared" si="10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8"/>
        <v>0</v>
      </c>
      <c r="H103" s="3"/>
      <c r="I103" s="4">
        <f t="shared" si="9"/>
        <v>0</v>
      </c>
      <c r="J103" s="4">
        <f t="shared" si="10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8"/>
        <v>0</v>
      </c>
      <c r="H104" s="3"/>
      <c r="I104" s="4">
        <f t="shared" si="9"/>
        <v>0</v>
      </c>
      <c r="J104" s="4">
        <f t="shared" si="10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8"/>
        <v>0</v>
      </c>
      <c r="H105" s="3"/>
      <c r="I105" s="4">
        <f t="shared" si="9"/>
        <v>0</v>
      </c>
      <c r="J105" s="4">
        <f t="shared" si="10"/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8"/>
        <v>0</v>
      </c>
      <c r="H106" s="3"/>
      <c r="I106" s="4">
        <f t="shared" si="9"/>
        <v>0</v>
      </c>
      <c r="J106" s="4">
        <f t="shared" si="10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8"/>
        <v>0</v>
      </c>
      <c r="H107" s="3"/>
      <c r="I107" s="4">
        <f t="shared" si="9"/>
        <v>0</v>
      </c>
      <c r="J107" s="4">
        <f>I107*H107</f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8"/>
        <v>0</v>
      </c>
      <c r="H108" s="3"/>
      <c r="I108" s="4">
        <f t="shared" si="9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8"/>
        <v>0</v>
      </c>
      <c r="H109" s="3"/>
      <c r="I109" s="4">
        <f t="shared" si="9"/>
        <v>8000</v>
      </c>
      <c r="J109" s="4">
        <f t="shared" si="10"/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8"/>
        <v>0</v>
      </c>
      <c r="H110" s="3"/>
      <c r="I110" s="4">
        <f t="shared" si="9"/>
        <v>0</v>
      </c>
      <c r="J110" s="4">
        <f t="shared" si="10"/>
        <v>0</v>
      </c>
    </row>
    <row r="111" spans="1:10" x14ac:dyDescent="0.25">
      <c r="A111" s="3">
        <v>23</v>
      </c>
      <c r="B111" t="s">
        <v>106</v>
      </c>
      <c r="C111" s="3">
        <v>4</v>
      </c>
      <c r="D111" s="3">
        <v>3</v>
      </c>
      <c r="E111" s="3">
        <f t="shared" si="11"/>
        <v>7</v>
      </c>
      <c r="F111" s="4">
        <v>4000</v>
      </c>
      <c r="G111" s="4">
        <f t="shared" si="8"/>
        <v>28000</v>
      </c>
      <c r="H111" s="3">
        <v>3</v>
      </c>
      <c r="I111" s="4">
        <f t="shared" si="9"/>
        <v>4000</v>
      </c>
      <c r="J111" s="4">
        <f t="shared" si="10"/>
        <v>12000</v>
      </c>
    </row>
    <row r="112" spans="1:10" x14ac:dyDescent="0.25">
      <c r="A112" s="3">
        <v>24</v>
      </c>
      <c r="B112" t="s">
        <v>107</v>
      </c>
      <c r="C112" s="3">
        <v>3</v>
      </c>
      <c r="D112" s="3">
        <v>4</v>
      </c>
      <c r="E112" s="3">
        <f t="shared" si="11"/>
        <v>7</v>
      </c>
      <c r="F112" s="4">
        <v>24000</v>
      </c>
      <c r="G112" s="4">
        <f t="shared" si="8"/>
        <v>168000</v>
      </c>
      <c r="H112" s="3">
        <v>1</v>
      </c>
      <c r="I112" s="4">
        <f t="shared" si="9"/>
        <v>24000</v>
      </c>
      <c r="J112" s="4">
        <f t="shared" si="10"/>
        <v>24000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8"/>
        <v>0</v>
      </c>
      <c r="H113" s="3"/>
      <c r="I113" s="4">
        <f t="shared" si="9"/>
        <v>6000</v>
      </c>
      <c r="J113" s="4">
        <f t="shared" si="10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8"/>
        <v>0</v>
      </c>
      <c r="H114" s="3"/>
      <c r="I114" s="4">
        <f t="shared" si="9"/>
        <v>0</v>
      </c>
      <c r="J114" s="4">
        <f t="shared" si="10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8"/>
        <v>0</v>
      </c>
      <c r="H115" s="3"/>
      <c r="I115" s="4">
        <f t="shared" si="9"/>
        <v>0</v>
      </c>
      <c r="J115" s="4">
        <f t="shared" si="10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8"/>
        <v>0</v>
      </c>
      <c r="H116" s="3"/>
      <c r="I116" s="4">
        <f t="shared" si="9"/>
        <v>0</v>
      </c>
      <c r="J116" s="4">
        <f t="shared" si="10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8"/>
        <v>0</v>
      </c>
      <c r="H117" s="3"/>
      <c r="I117" s="4">
        <f t="shared" si="9"/>
        <v>0</v>
      </c>
      <c r="J117" s="4">
        <f t="shared" si="10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8"/>
        <v>0</v>
      </c>
      <c r="H118" s="3"/>
      <c r="I118" s="4">
        <f t="shared" si="9"/>
        <v>0</v>
      </c>
      <c r="J118" s="4">
        <f t="shared" si="10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8"/>
        <v>0</v>
      </c>
      <c r="H119" s="3"/>
      <c r="I119" s="4">
        <f t="shared" si="9"/>
        <v>0</v>
      </c>
      <c r="J119" s="4">
        <f t="shared" si="10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8"/>
        <v>0</v>
      </c>
      <c r="H120" s="3"/>
      <c r="I120" s="4">
        <f t="shared" si="9"/>
        <v>0</v>
      </c>
      <c r="J120" s="4">
        <f t="shared" si="10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594220</v>
      </c>
      <c r="H121" s="5"/>
      <c r="I121" s="5"/>
      <c r="J121" s="5">
        <f>SUM(J89:J120)</f>
        <v>257970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1430265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DE28-6072-4621-995D-B66ABC5DE570}">
  <dimension ref="A1:M268"/>
  <sheetViews>
    <sheetView tabSelected="1" workbookViewId="0">
      <selection activeCell="H114" sqref="H114"/>
    </sheetView>
  </sheetViews>
  <sheetFormatPr defaultRowHeight="15" x14ac:dyDescent="0.25"/>
  <cols>
    <col min="1" max="1" width="4.28515625" customWidth="1"/>
    <col min="2" max="2" width="18.42578125" customWidth="1"/>
    <col min="3" max="3" width="18.5703125" customWidth="1"/>
    <col min="4" max="4" width="12.5703125" customWidth="1"/>
    <col min="5" max="5" width="11.42578125" customWidth="1"/>
    <col min="6" max="6" width="13.85546875" customWidth="1"/>
    <col min="7" max="7" width="15.5703125" customWidth="1"/>
    <col min="8" max="8" width="17.28515625" customWidth="1"/>
    <col min="9" max="9" width="14.85546875" customWidth="1"/>
    <col min="10" max="10" width="16.140625" customWidth="1"/>
    <col min="13" max="13" width="11.85546875" bestFit="1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3" s="2" customFormat="1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</row>
    <row r="3" spans="1:13" x14ac:dyDescent="0.25">
      <c r="A3" s="3">
        <v>1</v>
      </c>
      <c r="B3" t="s">
        <v>9</v>
      </c>
      <c r="C3" s="3">
        <v>0.26</v>
      </c>
      <c r="D3" s="3">
        <v>0.25</v>
      </c>
      <c r="E3" s="3">
        <f t="shared" ref="E3:E66" si="0">C3+D3</f>
        <v>0.51</v>
      </c>
      <c r="F3" s="4">
        <v>36000</v>
      </c>
      <c r="G3" s="4">
        <f>F3*E3</f>
        <v>18360</v>
      </c>
      <c r="H3" s="3">
        <v>0.37</v>
      </c>
      <c r="I3" s="4">
        <f>F3</f>
        <v>36000</v>
      </c>
      <c r="J3" s="4">
        <f>I3*H3</f>
        <v>13320</v>
      </c>
    </row>
    <row r="4" spans="1:13" x14ac:dyDescent="0.25">
      <c r="A4" s="3">
        <v>2</v>
      </c>
      <c r="B4" t="s">
        <v>10</v>
      </c>
      <c r="C4" s="3">
        <v>0.23</v>
      </c>
      <c r="D4" s="3"/>
      <c r="E4" s="3">
        <f t="shared" si="0"/>
        <v>0.23</v>
      </c>
      <c r="F4" s="4">
        <v>36000</v>
      </c>
      <c r="G4" s="4">
        <f t="shared" ref="G4:G73" si="1">F4*E4</f>
        <v>8280</v>
      </c>
      <c r="H4" s="3"/>
      <c r="I4" s="4">
        <f t="shared" ref="I4:I73" si="2">F4</f>
        <v>36000</v>
      </c>
      <c r="J4" s="4">
        <f t="shared" ref="J4:J68" si="3">I4*H4</f>
        <v>0</v>
      </c>
    </row>
    <row r="5" spans="1:13" x14ac:dyDescent="0.25">
      <c r="A5" s="3">
        <v>3</v>
      </c>
      <c r="B5" t="s">
        <v>11</v>
      </c>
      <c r="C5" s="3"/>
      <c r="D5" s="3"/>
      <c r="E5" s="3">
        <f t="shared" si="0"/>
        <v>0</v>
      </c>
      <c r="F5" s="4"/>
      <c r="G5" s="4">
        <f t="shared" si="1"/>
        <v>0</v>
      </c>
      <c r="H5" s="3"/>
      <c r="I5" s="4">
        <f t="shared" si="2"/>
        <v>0</v>
      </c>
      <c r="J5" s="4">
        <f t="shared" si="3"/>
        <v>0</v>
      </c>
    </row>
    <row r="6" spans="1:13" x14ac:dyDescent="0.25">
      <c r="A6" s="3">
        <v>4</v>
      </c>
      <c r="B6" t="s">
        <v>12</v>
      </c>
      <c r="C6" s="3">
        <v>0.03</v>
      </c>
      <c r="D6" s="3"/>
      <c r="E6" s="3">
        <f t="shared" si="0"/>
        <v>0.03</v>
      </c>
      <c r="F6" s="4">
        <v>60000</v>
      </c>
      <c r="G6" s="4">
        <f t="shared" si="1"/>
        <v>1800</v>
      </c>
      <c r="H6" s="3">
        <v>0.1</v>
      </c>
      <c r="I6" s="4">
        <f t="shared" si="2"/>
        <v>60000</v>
      </c>
      <c r="J6" s="4">
        <f t="shared" si="3"/>
        <v>6000</v>
      </c>
    </row>
    <row r="7" spans="1:13" x14ac:dyDescent="0.25">
      <c r="A7" s="3">
        <v>5</v>
      </c>
      <c r="B7" t="s">
        <v>13</v>
      </c>
      <c r="C7" s="3"/>
      <c r="D7" s="3">
        <v>0.25</v>
      </c>
      <c r="E7" s="3">
        <f t="shared" si="0"/>
        <v>0.25</v>
      </c>
      <c r="F7" s="4">
        <v>40000</v>
      </c>
      <c r="G7" s="4">
        <f t="shared" si="1"/>
        <v>10000</v>
      </c>
      <c r="H7" s="3">
        <v>0.25</v>
      </c>
      <c r="I7" s="4">
        <f t="shared" si="2"/>
        <v>40000</v>
      </c>
      <c r="J7" s="4">
        <f t="shared" si="3"/>
        <v>10000</v>
      </c>
    </row>
    <row r="8" spans="1:13" x14ac:dyDescent="0.25">
      <c r="A8" s="3">
        <v>6</v>
      </c>
      <c r="B8" t="s">
        <v>14</v>
      </c>
      <c r="C8" s="3">
        <v>0.1</v>
      </c>
      <c r="D8" s="3">
        <v>0.25</v>
      </c>
      <c r="E8" s="3">
        <f t="shared" si="0"/>
        <v>0.35</v>
      </c>
      <c r="F8" s="4">
        <v>50000</v>
      </c>
      <c r="G8" s="4">
        <f t="shared" si="1"/>
        <v>17500</v>
      </c>
      <c r="H8" s="3">
        <v>0.25</v>
      </c>
      <c r="I8" s="4">
        <f t="shared" si="2"/>
        <v>50000</v>
      </c>
      <c r="J8" s="4">
        <f t="shared" si="3"/>
        <v>12500</v>
      </c>
    </row>
    <row r="9" spans="1:13" x14ac:dyDescent="0.25">
      <c r="A9" s="3">
        <v>7</v>
      </c>
      <c r="B9" t="s">
        <v>15</v>
      </c>
      <c r="C9" s="3"/>
      <c r="D9" s="3">
        <v>1</v>
      </c>
      <c r="E9" s="3">
        <f t="shared" si="0"/>
        <v>1</v>
      </c>
      <c r="F9" s="4">
        <v>13000</v>
      </c>
      <c r="G9" s="4">
        <f t="shared" si="1"/>
        <v>13000</v>
      </c>
      <c r="H9" s="3">
        <v>1</v>
      </c>
      <c r="I9" s="4">
        <f t="shared" si="2"/>
        <v>13000</v>
      </c>
      <c r="J9" s="4">
        <f t="shared" si="3"/>
        <v>13000</v>
      </c>
    </row>
    <row r="10" spans="1:13" x14ac:dyDescent="0.25">
      <c r="A10" s="3">
        <v>8</v>
      </c>
      <c r="B10" t="s">
        <v>16</v>
      </c>
      <c r="C10" s="3"/>
      <c r="D10" s="3"/>
      <c r="E10" s="3">
        <f t="shared" si="0"/>
        <v>0</v>
      </c>
      <c r="F10" s="4"/>
      <c r="G10" s="4">
        <f t="shared" si="1"/>
        <v>0</v>
      </c>
      <c r="H10" s="3"/>
      <c r="I10" s="4">
        <f t="shared" si="2"/>
        <v>0</v>
      </c>
      <c r="J10" s="4">
        <f t="shared" si="3"/>
        <v>0</v>
      </c>
      <c r="M10" s="4"/>
    </row>
    <row r="11" spans="1:13" x14ac:dyDescent="0.25">
      <c r="A11" s="3">
        <v>9</v>
      </c>
      <c r="B11" t="s">
        <v>17</v>
      </c>
      <c r="C11" s="3"/>
      <c r="D11" s="3"/>
      <c r="E11" s="3">
        <f t="shared" si="0"/>
        <v>0</v>
      </c>
      <c r="F11" s="4"/>
      <c r="G11" s="4">
        <f t="shared" si="1"/>
        <v>0</v>
      </c>
      <c r="H11" s="3"/>
      <c r="I11" s="4">
        <f t="shared" si="2"/>
        <v>0</v>
      </c>
      <c r="J11" s="4">
        <f t="shared" si="3"/>
        <v>0</v>
      </c>
    </row>
    <row r="12" spans="1:13" x14ac:dyDescent="0.25">
      <c r="A12" s="3">
        <v>10</v>
      </c>
      <c r="B12" t="s">
        <v>18</v>
      </c>
      <c r="C12" s="3"/>
      <c r="D12" s="3"/>
      <c r="E12" s="3">
        <f t="shared" si="0"/>
        <v>0</v>
      </c>
      <c r="F12" s="4"/>
      <c r="G12" s="4">
        <f t="shared" si="1"/>
        <v>0</v>
      </c>
      <c r="H12" s="3"/>
      <c r="I12" s="4">
        <f t="shared" si="2"/>
        <v>0</v>
      </c>
      <c r="J12" s="4">
        <f t="shared" si="3"/>
        <v>0</v>
      </c>
    </row>
    <row r="13" spans="1:13" x14ac:dyDescent="0.25">
      <c r="A13" s="3">
        <v>11</v>
      </c>
      <c r="B13" t="s">
        <v>19</v>
      </c>
      <c r="C13" s="3"/>
      <c r="D13" s="3"/>
      <c r="E13" s="3">
        <f t="shared" si="0"/>
        <v>0</v>
      </c>
      <c r="F13" s="4"/>
      <c r="G13" s="4">
        <f t="shared" si="1"/>
        <v>0</v>
      </c>
      <c r="H13" s="3"/>
      <c r="I13" s="4">
        <f t="shared" si="2"/>
        <v>0</v>
      </c>
      <c r="J13" s="4">
        <f t="shared" si="3"/>
        <v>0</v>
      </c>
    </row>
    <row r="14" spans="1:13" x14ac:dyDescent="0.25">
      <c r="A14" s="3">
        <v>12</v>
      </c>
      <c r="B14" t="s">
        <v>20</v>
      </c>
      <c r="C14" s="3"/>
      <c r="D14" s="3"/>
      <c r="E14" s="3">
        <f t="shared" si="0"/>
        <v>0</v>
      </c>
      <c r="F14" s="4"/>
      <c r="G14" s="4">
        <f t="shared" si="1"/>
        <v>0</v>
      </c>
      <c r="H14" s="3"/>
      <c r="I14" s="4">
        <f t="shared" si="2"/>
        <v>0</v>
      </c>
      <c r="J14" s="4">
        <f t="shared" si="3"/>
        <v>0</v>
      </c>
    </row>
    <row r="15" spans="1:13" x14ac:dyDescent="0.25">
      <c r="A15" s="3">
        <v>13</v>
      </c>
      <c r="B15" t="s">
        <v>21</v>
      </c>
      <c r="C15" s="3"/>
      <c r="D15" s="3"/>
      <c r="E15" s="3">
        <f t="shared" si="0"/>
        <v>0</v>
      </c>
      <c r="F15" s="4"/>
      <c r="G15" s="4">
        <f t="shared" si="1"/>
        <v>0</v>
      </c>
      <c r="H15" s="3"/>
      <c r="I15" s="4">
        <f t="shared" si="2"/>
        <v>0</v>
      </c>
      <c r="J15" s="4">
        <f t="shared" si="3"/>
        <v>0</v>
      </c>
    </row>
    <row r="16" spans="1:13" x14ac:dyDescent="0.25">
      <c r="A16" s="3">
        <v>14</v>
      </c>
      <c r="B16" t="s">
        <v>22</v>
      </c>
      <c r="C16" s="3"/>
      <c r="D16" s="3"/>
      <c r="E16" s="3">
        <f t="shared" si="0"/>
        <v>0</v>
      </c>
      <c r="F16" s="4">
        <v>20000</v>
      </c>
      <c r="G16" s="4">
        <f t="shared" si="1"/>
        <v>0</v>
      </c>
      <c r="H16" s="3"/>
      <c r="I16" s="4">
        <f t="shared" si="2"/>
        <v>20000</v>
      </c>
      <c r="J16" s="4">
        <f t="shared" si="3"/>
        <v>0</v>
      </c>
    </row>
    <row r="17" spans="1:10" x14ac:dyDescent="0.25">
      <c r="A17" s="3">
        <v>15</v>
      </c>
      <c r="B17" t="s">
        <v>113</v>
      </c>
      <c r="C17" s="3"/>
      <c r="D17" s="3"/>
      <c r="E17" s="3">
        <f t="shared" si="0"/>
        <v>0</v>
      </c>
      <c r="F17" s="4">
        <v>16000</v>
      </c>
      <c r="G17" s="4">
        <f t="shared" si="1"/>
        <v>0</v>
      </c>
      <c r="H17" s="3"/>
      <c r="I17" s="4">
        <f t="shared" si="2"/>
        <v>16000</v>
      </c>
      <c r="J17" s="4">
        <f t="shared" si="3"/>
        <v>0</v>
      </c>
    </row>
    <row r="18" spans="1:10" x14ac:dyDescent="0.25">
      <c r="A18" s="3">
        <v>16</v>
      </c>
      <c r="B18" t="s">
        <v>23</v>
      </c>
      <c r="C18" s="3"/>
      <c r="D18" s="3"/>
      <c r="E18" s="3">
        <f t="shared" si="0"/>
        <v>0</v>
      </c>
      <c r="F18" s="4"/>
      <c r="G18" s="4">
        <f t="shared" si="1"/>
        <v>0</v>
      </c>
      <c r="H18" s="3"/>
      <c r="I18" s="4">
        <f t="shared" si="2"/>
        <v>0</v>
      </c>
      <c r="J18" s="4">
        <f t="shared" si="3"/>
        <v>0</v>
      </c>
    </row>
    <row r="19" spans="1:10" x14ac:dyDescent="0.25">
      <c r="A19" s="3">
        <v>17</v>
      </c>
      <c r="B19" t="s">
        <v>24</v>
      </c>
      <c r="C19" s="3">
        <v>0.44</v>
      </c>
      <c r="D19" s="3">
        <v>1</v>
      </c>
      <c r="E19" s="3">
        <f t="shared" si="0"/>
        <v>1.44</v>
      </c>
      <c r="F19" s="4">
        <v>20000</v>
      </c>
      <c r="G19" s="4">
        <f t="shared" si="1"/>
        <v>28800</v>
      </c>
      <c r="H19" s="3">
        <v>1</v>
      </c>
      <c r="I19" s="4">
        <f t="shared" si="2"/>
        <v>20000</v>
      </c>
      <c r="J19" s="4">
        <f t="shared" si="3"/>
        <v>20000</v>
      </c>
    </row>
    <row r="20" spans="1:10" x14ac:dyDescent="0.25">
      <c r="A20" s="3">
        <v>18</v>
      </c>
      <c r="B20" t="s">
        <v>25</v>
      </c>
      <c r="C20" s="3">
        <v>2.5</v>
      </c>
      <c r="D20" s="3"/>
      <c r="E20" s="3">
        <f t="shared" si="0"/>
        <v>2.5</v>
      </c>
      <c r="F20" s="4">
        <v>11000</v>
      </c>
      <c r="G20" s="4">
        <f t="shared" si="1"/>
        <v>27500</v>
      </c>
      <c r="H20" s="3">
        <v>1.5</v>
      </c>
      <c r="I20" s="4">
        <f t="shared" si="2"/>
        <v>11000</v>
      </c>
      <c r="J20" s="4">
        <f t="shared" si="3"/>
        <v>16500</v>
      </c>
    </row>
    <row r="21" spans="1:10" x14ac:dyDescent="0.25">
      <c r="A21" s="3">
        <v>19</v>
      </c>
      <c r="B21" t="s">
        <v>26</v>
      </c>
      <c r="C21" s="3"/>
      <c r="D21" s="3"/>
      <c r="E21" s="3">
        <f t="shared" si="0"/>
        <v>0</v>
      </c>
      <c r="F21" s="4"/>
      <c r="G21" s="4">
        <f t="shared" si="1"/>
        <v>0</v>
      </c>
      <c r="H21" s="3"/>
      <c r="I21" s="4">
        <f t="shared" si="2"/>
        <v>0</v>
      </c>
      <c r="J21" s="4">
        <f t="shared" si="3"/>
        <v>0</v>
      </c>
    </row>
    <row r="22" spans="1:10" x14ac:dyDescent="0.25">
      <c r="A22" s="3">
        <v>20</v>
      </c>
      <c r="B22" t="s">
        <v>27</v>
      </c>
      <c r="C22" s="3">
        <v>0.25</v>
      </c>
      <c r="D22" s="3"/>
      <c r="E22" s="3">
        <f t="shared" si="0"/>
        <v>0.25</v>
      </c>
      <c r="F22" s="4">
        <v>15000</v>
      </c>
      <c r="G22" s="4">
        <f t="shared" si="1"/>
        <v>3750</v>
      </c>
      <c r="H22" s="3"/>
      <c r="I22" s="4">
        <f t="shared" si="2"/>
        <v>15000</v>
      </c>
      <c r="J22" s="4">
        <f t="shared" si="3"/>
        <v>0</v>
      </c>
    </row>
    <row r="23" spans="1:10" x14ac:dyDescent="0.25">
      <c r="A23" s="3">
        <v>21</v>
      </c>
      <c r="B23" t="s">
        <v>28</v>
      </c>
      <c r="C23" s="3">
        <v>0.5</v>
      </c>
      <c r="D23" s="3">
        <v>2</v>
      </c>
      <c r="E23" s="3">
        <f t="shared" si="0"/>
        <v>2.5</v>
      </c>
      <c r="F23" s="4">
        <v>8000</v>
      </c>
      <c r="G23" s="4">
        <f>F23*E23</f>
        <v>20000</v>
      </c>
      <c r="H23" s="3">
        <v>1.6</v>
      </c>
      <c r="I23" s="4">
        <f t="shared" si="2"/>
        <v>8000</v>
      </c>
      <c r="J23" s="4">
        <f t="shared" si="3"/>
        <v>12800</v>
      </c>
    </row>
    <row r="24" spans="1:10" x14ac:dyDescent="0.25">
      <c r="A24" s="3">
        <v>22</v>
      </c>
      <c r="B24" t="s">
        <v>29</v>
      </c>
      <c r="C24" s="3">
        <v>0.17</v>
      </c>
      <c r="D24" s="3"/>
      <c r="E24" s="3">
        <f t="shared" si="0"/>
        <v>0.17</v>
      </c>
      <c r="F24" s="4">
        <v>8000</v>
      </c>
      <c r="G24" s="4">
        <f t="shared" si="1"/>
        <v>1360</v>
      </c>
      <c r="H24" s="3">
        <v>0.1</v>
      </c>
      <c r="I24" s="4">
        <f t="shared" si="2"/>
        <v>8000</v>
      </c>
      <c r="J24" s="4">
        <f t="shared" si="3"/>
        <v>800</v>
      </c>
    </row>
    <row r="25" spans="1:10" x14ac:dyDescent="0.25">
      <c r="A25" s="3">
        <v>23</v>
      </c>
      <c r="B25" t="s">
        <v>30</v>
      </c>
      <c r="C25" s="3">
        <v>1</v>
      </c>
      <c r="D25" s="3">
        <v>1</v>
      </c>
      <c r="E25" s="3">
        <f t="shared" si="0"/>
        <v>2</v>
      </c>
      <c r="F25" s="4">
        <v>3000</v>
      </c>
      <c r="G25" s="4">
        <f t="shared" si="1"/>
        <v>6000</v>
      </c>
      <c r="H25" s="3">
        <v>2</v>
      </c>
      <c r="I25" s="4">
        <f t="shared" si="2"/>
        <v>3000</v>
      </c>
      <c r="J25" s="4">
        <f t="shared" si="3"/>
        <v>6000</v>
      </c>
    </row>
    <row r="26" spans="1:10" x14ac:dyDescent="0.25">
      <c r="A26" s="3">
        <v>24</v>
      </c>
      <c r="B26" t="s">
        <v>31</v>
      </c>
      <c r="C26" s="3">
        <v>0.64</v>
      </c>
      <c r="D26" s="3">
        <v>1</v>
      </c>
      <c r="E26" s="3">
        <f t="shared" si="0"/>
        <v>1.6400000000000001</v>
      </c>
      <c r="F26" s="4">
        <v>11500</v>
      </c>
      <c r="G26" s="4">
        <f t="shared" si="1"/>
        <v>18860</v>
      </c>
      <c r="H26" s="3">
        <v>0.5</v>
      </c>
      <c r="I26" s="4">
        <f t="shared" si="2"/>
        <v>11500</v>
      </c>
      <c r="J26" s="4">
        <f t="shared" si="3"/>
        <v>5750</v>
      </c>
    </row>
    <row r="27" spans="1:10" x14ac:dyDescent="0.25">
      <c r="A27" s="3">
        <v>25</v>
      </c>
      <c r="B27" t="s">
        <v>32</v>
      </c>
      <c r="C27" s="3">
        <v>1</v>
      </c>
      <c r="D27" s="3"/>
      <c r="E27" s="3">
        <f t="shared" si="0"/>
        <v>1</v>
      </c>
      <c r="F27" s="4">
        <v>8500</v>
      </c>
      <c r="G27" s="4">
        <f t="shared" si="1"/>
        <v>8500</v>
      </c>
      <c r="H27" s="3">
        <v>0.9</v>
      </c>
      <c r="I27" s="4">
        <f t="shared" si="2"/>
        <v>8500</v>
      </c>
      <c r="J27" s="4">
        <f t="shared" si="3"/>
        <v>7650</v>
      </c>
    </row>
    <row r="28" spans="1:10" x14ac:dyDescent="0.25">
      <c r="A28" s="3">
        <v>26</v>
      </c>
      <c r="B28" t="s">
        <v>33</v>
      </c>
      <c r="C28" s="3"/>
      <c r="D28" s="3"/>
      <c r="E28" s="3">
        <f t="shared" si="0"/>
        <v>0</v>
      </c>
      <c r="F28" s="4">
        <v>3750</v>
      </c>
      <c r="G28" s="4">
        <f t="shared" si="1"/>
        <v>0</v>
      </c>
      <c r="H28" s="3"/>
      <c r="I28" s="4">
        <f t="shared" si="2"/>
        <v>3750</v>
      </c>
      <c r="J28" s="4">
        <f t="shared" si="3"/>
        <v>0</v>
      </c>
    </row>
    <row r="29" spans="1:10" x14ac:dyDescent="0.25">
      <c r="A29" s="3">
        <v>27</v>
      </c>
      <c r="B29" t="s">
        <v>34</v>
      </c>
      <c r="C29" s="3">
        <v>0.2</v>
      </c>
      <c r="D29" s="3">
        <v>0.5</v>
      </c>
      <c r="E29" s="3">
        <f t="shared" si="0"/>
        <v>0.7</v>
      </c>
      <c r="F29" s="4">
        <v>24000</v>
      </c>
      <c r="G29" s="4">
        <f t="shared" si="1"/>
        <v>16800</v>
      </c>
      <c r="H29" s="3">
        <v>0.2</v>
      </c>
      <c r="I29" s="4">
        <f t="shared" si="2"/>
        <v>24000</v>
      </c>
      <c r="J29" s="4">
        <f t="shared" si="3"/>
        <v>4800</v>
      </c>
    </row>
    <row r="30" spans="1:10" x14ac:dyDescent="0.25">
      <c r="A30" s="3">
        <v>28</v>
      </c>
      <c r="B30" t="s">
        <v>35</v>
      </c>
      <c r="C30" s="3"/>
      <c r="D30" s="3"/>
      <c r="E30" s="3">
        <f t="shared" si="0"/>
        <v>0</v>
      </c>
      <c r="F30" s="4">
        <v>12000</v>
      </c>
      <c r="G30" s="4">
        <f t="shared" si="1"/>
        <v>0</v>
      </c>
      <c r="H30" s="3"/>
      <c r="I30" s="4">
        <f t="shared" si="2"/>
        <v>12000</v>
      </c>
      <c r="J30" s="4">
        <f t="shared" si="3"/>
        <v>0</v>
      </c>
    </row>
    <row r="31" spans="1:10" x14ac:dyDescent="0.25">
      <c r="A31" s="3">
        <v>29</v>
      </c>
      <c r="B31" t="s">
        <v>36</v>
      </c>
      <c r="C31" s="3"/>
      <c r="D31" s="3"/>
      <c r="E31" s="3">
        <f t="shared" si="0"/>
        <v>0</v>
      </c>
      <c r="F31" s="4"/>
      <c r="G31" s="4">
        <f t="shared" si="1"/>
        <v>0</v>
      </c>
      <c r="H31" s="3"/>
      <c r="I31" s="4">
        <f t="shared" si="2"/>
        <v>0</v>
      </c>
      <c r="J31" s="4">
        <f t="shared" si="3"/>
        <v>0</v>
      </c>
    </row>
    <row r="32" spans="1:10" x14ac:dyDescent="0.25">
      <c r="A32" s="3">
        <v>30</v>
      </c>
      <c r="B32" t="s">
        <v>37</v>
      </c>
      <c r="C32" s="3"/>
      <c r="D32" s="3"/>
      <c r="E32" s="3">
        <f t="shared" si="0"/>
        <v>0</v>
      </c>
      <c r="F32" s="4">
        <v>32000</v>
      </c>
      <c r="G32" s="4">
        <f t="shared" si="1"/>
        <v>0</v>
      </c>
      <c r="H32" s="3"/>
      <c r="I32" s="4">
        <f t="shared" si="2"/>
        <v>32000</v>
      </c>
      <c r="J32" s="4">
        <f t="shared" si="3"/>
        <v>0</v>
      </c>
    </row>
    <row r="33" spans="1:10" x14ac:dyDescent="0.25">
      <c r="A33" s="3">
        <v>31</v>
      </c>
      <c r="B33" t="s">
        <v>38</v>
      </c>
      <c r="C33" s="3"/>
      <c r="D33" s="3"/>
      <c r="E33" s="3">
        <f t="shared" si="0"/>
        <v>0</v>
      </c>
      <c r="F33" s="4">
        <v>56000</v>
      </c>
      <c r="G33" s="4">
        <f t="shared" si="1"/>
        <v>0</v>
      </c>
      <c r="H33" s="3"/>
      <c r="I33" s="4">
        <f t="shared" si="2"/>
        <v>56000</v>
      </c>
      <c r="J33" s="4">
        <f t="shared" si="3"/>
        <v>0</v>
      </c>
    </row>
    <row r="34" spans="1:10" x14ac:dyDescent="0.25">
      <c r="A34" s="3">
        <v>32</v>
      </c>
      <c r="B34" t="s">
        <v>39</v>
      </c>
      <c r="C34" s="3">
        <v>2</v>
      </c>
      <c r="D34" s="3">
        <v>3</v>
      </c>
      <c r="E34" s="3">
        <f t="shared" si="0"/>
        <v>5</v>
      </c>
      <c r="F34" s="4">
        <v>17500</v>
      </c>
      <c r="G34" s="4">
        <f t="shared" si="1"/>
        <v>87500</v>
      </c>
      <c r="H34" s="3"/>
      <c r="I34" s="4">
        <f t="shared" si="2"/>
        <v>17500</v>
      </c>
      <c r="J34" s="4">
        <f t="shared" si="3"/>
        <v>0</v>
      </c>
    </row>
    <row r="35" spans="1:10" x14ac:dyDescent="0.25">
      <c r="A35" s="3">
        <v>33</v>
      </c>
      <c r="B35" t="s">
        <v>40</v>
      </c>
      <c r="C35" s="3"/>
      <c r="D35" s="3"/>
      <c r="E35" s="3">
        <f t="shared" si="0"/>
        <v>0</v>
      </c>
      <c r="F35" s="4">
        <v>3000</v>
      </c>
      <c r="G35" s="4">
        <f t="shared" si="1"/>
        <v>0</v>
      </c>
      <c r="H35" s="3"/>
      <c r="I35" s="4">
        <f t="shared" si="2"/>
        <v>3000</v>
      </c>
      <c r="J35" s="4">
        <f t="shared" si="3"/>
        <v>0</v>
      </c>
    </row>
    <row r="36" spans="1:10" x14ac:dyDescent="0.25">
      <c r="A36" s="3">
        <v>34</v>
      </c>
      <c r="B36" t="s">
        <v>41</v>
      </c>
      <c r="C36" s="3"/>
      <c r="D36" s="3"/>
      <c r="E36" s="3">
        <f t="shared" si="0"/>
        <v>0</v>
      </c>
      <c r="F36" s="4">
        <v>11000</v>
      </c>
      <c r="G36" s="4">
        <f t="shared" si="1"/>
        <v>0</v>
      </c>
      <c r="H36" s="3"/>
      <c r="I36" s="4">
        <f t="shared" si="2"/>
        <v>11000</v>
      </c>
      <c r="J36" s="4">
        <f t="shared" si="3"/>
        <v>0</v>
      </c>
    </row>
    <row r="37" spans="1:10" x14ac:dyDescent="0.25">
      <c r="A37" s="3">
        <v>35</v>
      </c>
      <c r="B37" t="s">
        <v>42</v>
      </c>
      <c r="C37" s="3"/>
      <c r="D37" s="3"/>
      <c r="E37" s="3">
        <f t="shared" si="0"/>
        <v>0</v>
      </c>
      <c r="F37" s="4">
        <v>600</v>
      </c>
      <c r="G37" s="4">
        <f t="shared" si="1"/>
        <v>0</v>
      </c>
      <c r="H37" s="3"/>
      <c r="I37" s="4">
        <f t="shared" si="2"/>
        <v>600</v>
      </c>
      <c r="J37" s="4">
        <f t="shared" si="3"/>
        <v>0</v>
      </c>
    </row>
    <row r="38" spans="1:10" x14ac:dyDescent="0.25">
      <c r="A38" s="3">
        <v>36</v>
      </c>
      <c r="B38" t="s">
        <v>43</v>
      </c>
      <c r="C38" s="3"/>
      <c r="D38" s="3"/>
      <c r="E38" s="3">
        <f t="shared" si="0"/>
        <v>0</v>
      </c>
      <c r="F38" s="4">
        <v>600</v>
      </c>
      <c r="G38" s="4">
        <f t="shared" si="1"/>
        <v>0</v>
      </c>
      <c r="H38" s="3"/>
      <c r="I38" s="4">
        <f t="shared" si="2"/>
        <v>600</v>
      </c>
      <c r="J38" s="4">
        <f t="shared" si="3"/>
        <v>0</v>
      </c>
    </row>
    <row r="39" spans="1:10" x14ac:dyDescent="0.25">
      <c r="A39" s="3">
        <v>37</v>
      </c>
      <c r="B39" t="s">
        <v>44</v>
      </c>
      <c r="C39" s="3"/>
      <c r="D39" s="3"/>
      <c r="E39" s="3">
        <f t="shared" si="0"/>
        <v>0</v>
      </c>
      <c r="F39" s="4">
        <v>1200</v>
      </c>
      <c r="G39" s="4">
        <f t="shared" si="1"/>
        <v>0</v>
      </c>
      <c r="H39" s="3"/>
      <c r="I39" s="4">
        <f t="shared" si="2"/>
        <v>1200</v>
      </c>
      <c r="J39" s="4">
        <f t="shared" si="3"/>
        <v>0</v>
      </c>
    </row>
    <row r="40" spans="1:10" x14ac:dyDescent="0.25">
      <c r="A40" s="3">
        <v>38</v>
      </c>
      <c r="B40" t="s">
        <v>45</v>
      </c>
      <c r="C40" s="3"/>
      <c r="D40" s="3"/>
      <c r="E40" s="3">
        <f t="shared" si="0"/>
        <v>0</v>
      </c>
      <c r="F40" s="4"/>
      <c r="G40" s="4">
        <f t="shared" si="1"/>
        <v>0</v>
      </c>
      <c r="H40" s="3"/>
      <c r="I40" s="4">
        <f t="shared" si="2"/>
        <v>0</v>
      </c>
      <c r="J40" s="4">
        <f t="shared" si="3"/>
        <v>0</v>
      </c>
    </row>
    <row r="41" spans="1:10" x14ac:dyDescent="0.25">
      <c r="A41" s="3">
        <v>39</v>
      </c>
      <c r="B41" t="s">
        <v>46</v>
      </c>
      <c r="C41" s="3">
        <v>1</v>
      </c>
      <c r="D41" s="3">
        <v>1</v>
      </c>
      <c r="E41" s="3">
        <f t="shared" si="0"/>
        <v>2</v>
      </c>
      <c r="F41" s="4">
        <v>83000</v>
      </c>
      <c r="G41" s="4">
        <f t="shared" si="1"/>
        <v>166000</v>
      </c>
      <c r="H41" s="3">
        <v>1</v>
      </c>
      <c r="I41" s="4">
        <f t="shared" si="2"/>
        <v>83000</v>
      </c>
      <c r="J41" s="4">
        <f t="shared" si="3"/>
        <v>83000</v>
      </c>
    </row>
    <row r="42" spans="1:10" x14ac:dyDescent="0.25">
      <c r="A42" s="3">
        <v>40</v>
      </c>
      <c r="B42" t="s">
        <v>47</v>
      </c>
      <c r="C42" s="3">
        <v>2</v>
      </c>
      <c r="D42" s="3">
        <v>2</v>
      </c>
      <c r="E42" s="3">
        <f t="shared" si="0"/>
        <v>4</v>
      </c>
      <c r="F42" s="4">
        <v>21000</v>
      </c>
      <c r="G42" s="4">
        <f t="shared" si="1"/>
        <v>84000</v>
      </c>
      <c r="H42" s="3">
        <v>1.5</v>
      </c>
      <c r="I42" s="4">
        <f t="shared" si="2"/>
        <v>21000</v>
      </c>
      <c r="J42" s="4">
        <f t="shared" si="3"/>
        <v>31500</v>
      </c>
    </row>
    <row r="43" spans="1:10" x14ac:dyDescent="0.25">
      <c r="A43" s="3">
        <v>41</v>
      </c>
      <c r="B43" t="s">
        <v>48</v>
      </c>
      <c r="C43" s="3">
        <v>8.5</v>
      </c>
      <c r="D43" s="3"/>
      <c r="E43" s="3">
        <f t="shared" si="0"/>
        <v>8.5</v>
      </c>
      <c r="F43" s="4">
        <v>25000</v>
      </c>
      <c r="G43" s="4">
        <f t="shared" si="1"/>
        <v>212500</v>
      </c>
      <c r="H43" s="3">
        <v>7</v>
      </c>
      <c r="I43" s="4">
        <f t="shared" si="2"/>
        <v>25000</v>
      </c>
      <c r="J43" s="4">
        <f t="shared" si="3"/>
        <v>175000</v>
      </c>
    </row>
    <row r="44" spans="1:10" x14ac:dyDescent="0.25">
      <c r="A44" s="3">
        <v>42</v>
      </c>
      <c r="B44" t="s">
        <v>49</v>
      </c>
      <c r="C44" s="3">
        <v>17</v>
      </c>
      <c r="D44" s="3">
        <v>24</v>
      </c>
      <c r="E44" s="3">
        <f t="shared" si="0"/>
        <v>41</v>
      </c>
      <c r="F44" s="4">
        <v>250</v>
      </c>
      <c r="G44" s="4">
        <f t="shared" si="1"/>
        <v>10250</v>
      </c>
      <c r="H44" s="3">
        <v>33</v>
      </c>
      <c r="I44" s="4">
        <f t="shared" si="2"/>
        <v>250</v>
      </c>
      <c r="J44" s="4">
        <f t="shared" si="3"/>
        <v>8250</v>
      </c>
    </row>
    <row r="45" spans="1:10" x14ac:dyDescent="0.25">
      <c r="A45" s="3">
        <v>43</v>
      </c>
      <c r="B45" t="s">
        <v>50</v>
      </c>
      <c r="C45" s="3">
        <v>2</v>
      </c>
      <c r="D45" s="3">
        <v>3</v>
      </c>
      <c r="E45" s="3">
        <f t="shared" si="0"/>
        <v>5</v>
      </c>
      <c r="F45" s="4">
        <v>15500</v>
      </c>
      <c r="G45" s="4">
        <f t="shared" si="1"/>
        <v>77500</v>
      </c>
      <c r="H45" s="3">
        <v>4</v>
      </c>
      <c r="I45" s="4">
        <f t="shared" si="2"/>
        <v>15500</v>
      </c>
      <c r="J45" s="4">
        <f t="shared" si="3"/>
        <v>62000</v>
      </c>
    </row>
    <row r="46" spans="1:10" x14ac:dyDescent="0.25">
      <c r="A46" s="3">
        <v>44</v>
      </c>
      <c r="B46" t="s">
        <v>51</v>
      </c>
      <c r="C46" s="3"/>
      <c r="D46" s="3"/>
      <c r="E46" s="3">
        <f t="shared" si="0"/>
        <v>0</v>
      </c>
      <c r="F46" s="4"/>
      <c r="G46" s="4">
        <f t="shared" si="1"/>
        <v>0</v>
      </c>
      <c r="H46" s="3"/>
      <c r="I46" s="4">
        <f t="shared" si="2"/>
        <v>0</v>
      </c>
      <c r="J46" s="4">
        <f t="shared" si="3"/>
        <v>0</v>
      </c>
    </row>
    <row r="47" spans="1:10" x14ac:dyDescent="0.25">
      <c r="A47" s="3">
        <v>45</v>
      </c>
      <c r="B47" t="s">
        <v>52</v>
      </c>
      <c r="C47" s="3"/>
      <c r="D47" s="3"/>
      <c r="E47" s="3">
        <f t="shared" si="0"/>
        <v>0</v>
      </c>
      <c r="F47" s="4"/>
      <c r="G47" s="4">
        <f t="shared" si="1"/>
        <v>0</v>
      </c>
      <c r="H47" s="3"/>
      <c r="I47" s="4">
        <f t="shared" si="2"/>
        <v>0</v>
      </c>
      <c r="J47" s="4">
        <f t="shared" si="3"/>
        <v>0</v>
      </c>
    </row>
    <row r="48" spans="1:10" x14ac:dyDescent="0.25">
      <c r="A48" s="3">
        <v>46</v>
      </c>
      <c r="B48" t="s">
        <v>53</v>
      </c>
      <c r="C48" s="3"/>
      <c r="D48" s="3"/>
      <c r="E48" s="3">
        <f t="shared" si="0"/>
        <v>0</v>
      </c>
      <c r="F48" s="4"/>
      <c r="G48" s="4">
        <f t="shared" si="1"/>
        <v>0</v>
      </c>
      <c r="H48" s="3"/>
      <c r="I48" s="4">
        <f t="shared" si="2"/>
        <v>0</v>
      </c>
      <c r="J48" s="4">
        <f t="shared" si="3"/>
        <v>0</v>
      </c>
    </row>
    <row r="49" spans="1:10" x14ac:dyDescent="0.25">
      <c r="A49" s="3">
        <v>47</v>
      </c>
      <c r="B49" t="s">
        <v>54</v>
      </c>
      <c r="C49" s="3">
        <v>18</v>
      </c>
      <c r="D49" s="3"/>
      <c r="E49" s="3">
        <f t="shared" si="0"/>
        <v>18</v>
      </c>
      <c r="F49" s="4">
        <v>6000</v>
      </c>
      <c r="G49" s="4">
        <f t="shared" si="1"/>
        <v>108000</v>
      </c>
      <c r="H49" s="3">
        <v>15</v>
      </c>
      <c r="I49" s="4">
        <f t="shared" si="2"/>
        <v>6000</v>
      </c>
      <c r="J49" s="4">
        <f t="shared" si="3"/>
        <v>90000</v>
      </c>
    </row>
    <row r="50" spans="1:10" x14ac:dyDescent="0.25">
      <c r="A50" s="3">
        <v>48</v>
      </c>
      <c r="B50" t="s">
        <v>55</v>
      </c>
      <c r="C50" s="3">
        <v>55</v>
      </c>
      <c r="D50" s="3"/>
      <c r="E50" s="3">
        <f t="shared" si="0"/>
        <v>55</v>
      </c>
      <c r="F50" s="4"/>
      <c r="G50" s="4">
        <f t="shared" si="1"/>
        <v>0</v>
      </c>
      <c r="H50" s="3">
        <v>49</v>
      </c>
      <c r="I50" s="4">
        <f t="shared" si="2"/>
        <v>0</v>
      </c>
      <c r="J50" s="4">
        <f t="shared" si="3"/>
        <v>0</v>
      </c>
    </row>
    <row r="51" spans="1:10" x14ac:dyDescent="0.25">
      <c r="A51" s="3">
        <v>49</v>
      </c>
      <c r="B51" t="s">
        <v>56</v>
      </c>
      <c r="C51" s="3">
        <v>1.5</v>
      </c>
      <c r="D51" s="3">
        <v>1</v>
      </c>
      <c r="E51" s="3">
        <f t="shared" si="0"/>
        <v>2.5</v>
      </c>
      <c r="F51" s="4">
        <v>12000</v>
      </c>
      <c r="G51" s="4">
        <f>F51*E51</f>
        <v>30000</v>
      </c>
      <c r="H51" s="3">
        <v>1</v>
      </c>
      <c r="I51" s="4">
        <f t="shared" si="2"/>
        <v>12000</v>
      </c>
      <c r="J51" s="4">
        <f t="shared" si="3"/>
        <v>12000</v>
      </c>
    </row>
    <row r="52" spans="1:10" x14ac:dyDescent="0.25">
      <c r="A52" s="3">
        <v>50</v>
      </c>
      <c r="B52" t="s">
        <v>57</v>
      </c>
      <c r="C52" s="3"/>
      <c r="D52" s="3"/>
      <c r="E52" s="3">
        <f t="shared" si="0"/>
        <v>0</v>
      </c>
      <c r="F52" s="4">
        <v>9000</v>
      </c>
      <c r="G52" s="4">
        <f t="shared" si="1"/>
        <v>0</v>
      </c>
      <c r="H52" s="3"/>
      <c r="I52" s="4">
        <f t="shared" si="2"/>
        <v>9000</v>
      </c>
      <c r="J52" s="4">
        <f t="shared" si="3"/>
        <v>0</v>
      </c>
    </row>
    <row r="53" spans="1:10" x14ac:dyDescent="0.25">
      <c r="A53" s="3">
        <v>51</v>
      </c>
      <c r="B53" t="s">
        <v>58</v>
      </c>
      <c r="C53" s="3"/>
      <c r="D53" s="3"/>
      <c r="E53" s="3">
        <f t="shared" si="0"/>
        <v>0</v>
      </c>
      <c r="F53" s="4"/>
      <c r="G53" s="4">
        <f t="shared" si="1"/>
        <v>0</v>
      </c>
      <c r="H53" s="3"/>
      <c r="I53" s="4">
        <f t="shared" si="2"/>
        <v>0</v>
      </c>
      <c r="J53" s="4">
        <f t="shared" si="3"/>
        <v>0</v>
      </c>
    </row>
    <row r="54" spans="1:10" x14ac:dyDescent="0.25">
      <c r="A54" s="3">
        <v>52</v>
      </c>
      <c r="B54" t="s">
        <v>59</v>
      </c>
      <c r="C54" s="3"/>
      <c r="D54" s="3"/>
      <c r="E54" s="3">
        <f t="shared" si="0"/>
        <v>0</v>
      </c>
      <c r="F54" s="4">
        <v>6000</v>
      </c>
      <c r="G54" s="4">
        <f t="shared" si="1"/>
        <v>0</v>
      </c>
      <c r="H54" s="3"/>
      <c r="I54" s="4">
        <f t="shared" si="2"/>
        <v>6000</v>
      </c>
      <c r="J54" s="4">
        <f t="shared" si="3"/>
        <v>0</v>
      </c>
    </row>
    <row r="55" spans="1:10" x14ac:dyDescent="0.25">
      <c r="A55" s="3">
        <v>53</v>
      </c>
      <c r="B55" t="s">
        <v>60</v>
      </c>
      <c r="C55" s="3"/>
      <c r="D55" s="3"/>
      <c r="E55" s="3">
        <f t="shared" si="0"/>
        <v>0</v>
      </c>
      <c r="F55" s="4">
        <v>1000</v>
      </c>
      <c r="G55" s="4">
        <f t="shared" si="1"/>
        <v>0</v>
      </c>
      <c r="H55" s="3"/>
      <c r="I55" s="4">
        <f t="shared" si="2"/>
        <v>1000</v>
      </c>
      <c r="J55" s="4">
        <f t="shared" si="3"/>
        <v>0</v>
      </c>
    </row>
    <row r="56" spans="1:10" x14ac:dyDescent="0.25">
      <c r="A56" s="3">
        <v>54</v>
      </c>
      <c r="B56" t="s">
        <v>61</v>
      </c>
      <c r="C56" s="3"/>
      <c r="D56" s="3"/>
      <c r="E56" s="3">
        <f t="shared" si="0"/>
        <v>0</v>
      </c>
      <c r="F56" s="4"/>
      <c r="G56" s="4">
        <f t="shared" si="1"/>
        <v>0</v>
      </c>
      <c r="H56" s="3"/>
      <c r="I56" s="4">
        <f t="shared" si="2"/>
        <v>0</v>
      </c>
      <c r="J56" s="4">
        <f t="shared" si="3"/>
        <v>0</v>
      </c>
    </row>
    <row r="57" spans="1:10" x14ac:dyDescent="0.25">
      <c r="A57" s="3">
        <v>55</v>
      </c>
      <c r="B57" t="s">
        <v>62</v>
      </c>
      <c r="C57" s="3"/>
      <c r="D57" s="3"/>
      <c r="E57" s="3">
        <f t="shared" si="0"/>
        <v>0</v>
      </c>
      <c r="F57" s="4"/>
      <c r="G57" s="4">
        <f t="shared" si="1"/>
        <v>0</v>
      </c>
      <c r="H57" s="3"/>
      <c r="I57" s="4">
        <f t="shared" si="2"/>
        <v>0</v>
      </c>
      <c r="J57" s="4">
        <f t="shared" si="3"/>
        <v>0</v>
      </c>
    </row>
    <row r="58" spans="1:10" x14ac:dyDescent="0.25">
      <c r="A58" s="3">
        <v>56</v>
      </c>
      <c r="B58" t="s">
        <v>63</v>
      </c>
      <c r="C58" s="3"/>
      <c r="D58" s="3"/>
      <c r="E58" s="3">
        <f t="shared" si="0"/>
        <v>0</v>
      </c>
      <c r="F58" s="4"/>
      <c r="G58" s="4">
        <f t="shared" si="1"/>
        <v>0</v>
      </c>
      <c r="H58" s="3"/>
      <c r="I58" s="4">
        <f t="shared" si="2"/>
        <v>0</v>
      </c>
      <c r="J58" s="4">
        <f t="shared" si="3"/>
        <v>0</v>
      </c>
    </row>
    <row r="59" spans="1:10" x14ac:dyDescent="0.25">
      <c r="A59" s="3">
        <v>57</v>
      </c>
      <c r="B59" t="s">
        <v>64</v>
      </c>
      <c r="C59" s="3">
        <v>1.25</v>
      </c>
      <c r="D59" s="3"/>
      <c r="E59" s="3">
        <f t="shared" si="0"/>
        <v>1.25</v>
      </c>
      <c r="F59" s="4">
        <v>20000</v>
      </c>
      <c r="G59" s="4">
        <f t="shared" si="1"/>
        <v>25000</v>
      </c>
      <c r="H59" s="3">
        <v>0.25</v>
      </c>
      <c r="I59" s="4">
        <f t="shared" si="2"/>
        <v>20000</v>
      </c>
      <c r="J59" s="4">
        <f t="shared" si="3"/>
        <v>5000</v>
      </c>
    </row>
    <row r="60" spans="1:10" x14ac:dyDescent="0.25">
      <c r="A60" s="3">
        <v>58</v>
      </c>
      <c r="B60" t="s">
        <v>65</v>
      </c>
      <c r="C60" s="3"/>
      <c r="D60" s="3"/>
      <c r="E60" s="3">
        <f t="shared" si="0"/>
        <v>0</v>
      </c>
      <c r="F60" s="4"/>
      <c r="G60" s="4">
        <f t="shared" si="1"/>
        <v>0</v>
      </c>
      <c r="H60" s="3"/>
      <c r="I60" s="4">
        <f t="shared" si="2"/>
        <v>0</v>
      </c>
      <c r="J60" s="4">
        <f t="shared" si="3"/>
        <v>0</v>
      </c>
    </row>
    <row r="61" spans="1:10" x14ac:dyDescent="0.25">
      <c r="A61" s="3">
        <v>59</v>
      </c>
      <c r="B61" t="s">
        <v>66</v>
      </c>
      <c r="C61" s="3">
        <v>14</v>
      </c>
      <c r="D61" s="3">
        <v>7</v>
      </c>
      <c r="E61" s="3">
        <f t="shared" si="0"/>
        <v>21</v>
      </c>
      <c r="F61" s="4">
        <v>5700</v>
      </c>
      <c r="G61" s="4">
        <f t="shared" si="1"/>
        <v>119700</v>
      </c>
      <c r="H61" s="3">
        <v>13</v>
      </c>
      <c r="I61" s="4">
        <f t="shared" si="2"/>
        <v>5700</v>
      </c>
      <c r="J61" s="4">
        <f t="shared" si="3"/>
        <v>74100</v>
      </c>
    </row>
    <row r="62" spans="1:10" x14ac:dyDescent="0.25">
      <c r="A62" s="3">
        <v>60</v>
      </c>
      <c r="B62" t="s">
        <v>67</v>
      </c>
      <c r="C62" s="3"/>
      <c r="D62" s="3"/>
      <c r="E62" s="3">
        <f t="shared" si="0"/>
        <v>0</v>
      </c>
      <c r="F62" s="4"/>
      <c r="G62" s="4">
        <f t="shared" si="1"/>
        <v>0</v>
      </c>
      <c r="H62" s="3"/>
      <c r="I62" s="4">
        <f t="shared" si="2"/>
        <v>0</v>
      </c>
      <c r="J62" s="4">
        <f t="shared" si="3"/>
        <v>0</v>
      </c>
    </row>
    <row r="63" spans="1:10" x14ac:dyDescent="0.25">
      <c r="A63" s="3">
        <v>61</v>
      </c>
      <c r="B63" t="s">
        <v>68</v>
      </c>
      <c r="C63" s="3"/>
      <c r="D63" s="3"/>
      <c r="E63" s="3">
        <f t="shared" si="0"/>
        <v>0</v>
      </c>
      <c r="F63" s="4">
        <v>39000</v>
      </c>
      <c r="G63" s="4">
        <f t="shared" si="1"/>
        <v>0</v>
      </c>
      <c r="H63" s="3"/>
      <c r="I63" s="4">
        <f t="shared" si="2"/>
        <v>39000</v>
      </c>
      <c r="J63" s="4">
        <f t="shared" si="3"/>
        <v>0</v>
      </c>
    </row>
    <row r="64" spans="1:10" x14ac:dyDescent="0.25">
      <c r="A64" s="3">
        <v>62</v>
      </c>
      <c r="B64" t="s">
        <v>69</v>
      </c>
      <c r="C64" s="3">
        <v>7</v>
      </c>
      <c r="D64" s="3"/>
      <c r="E64" s="3">
        <f t="shared" si="0"/>
        <v>7</v>
      </c>
      <c r="F64" s="4">
        <v>4875</v>
      </c>
      <c r="G64" s="4">
        <f t="shared" si="1"/>
        <v>34125</v>
      </c>
      <c r="H64" s="3">
        <v>6</v>
      </c>
      <c r="I64" s="4">
        <f t="shared" si="2"/>
        <v>4875</v>
      </c>
      <c r="J64" s="4">
        <f t="shared" si="3"/>
        <v>29250</v>
      </c>
    </row>
    <row r="65" spans="1:10" x14ac:dyDescent="0.25">
      <c r="A65" s="3">
        <v>63</v>
      </c>
      <c r="B65" t="s">
        <v>70</v>
      </c>
      <c r="C65" s="3">
        <v>12.25</v>
      </c>
      <c r="D65" s="3"/>
      <c r="E65" s="3">
        <f t="shared" si="0"/>
        <v>12.25</v>
      </c>
      <c r="F65" s="4">
        <v>21000</v>
      </c>
      <c r="G65" s="4">
        <f t="shared" si="1"/>
        <v>257250</v>
      </c>
      <c r="H65" s="3">
        <v>11.25</v>
      </c>
      <c r="I65" s="4">
        <f t="shared" si="2"/>
        <v>21000</v>
      </c>
      <c r="J65" s="4">
        <f t="shared" si="3"/>
        <v>236250</v>
      </c>
    </row>
    <row r="66" spans="1:10" x14ac:dyDescent="0.25">
      <c r="A66" s="3">
        <v>64</v>
      </c>
      <c r="B66" t="s">
        <v>115</v>
      </c>
      <c r="C66" s="3">
        <v>0.6</v>
      </c>
      <c r="D66" s="3"/>
      <c r="E66" s="3">
        <f t="shared" si="0"/>
        <v>0.6</v>
      </c>
      <c r="F66" s="4">
        <v>100000</v>
      </c>
      <c r="G66" s="4">
        <f t="shared" si="1"/>
        <v>60000</v>
      </c>
      <c r="H66" s="3">
        <v>0.46</v>
      </c>
      <c r="I66" s="4">
        <f t="shared" si="2"/>
        <v>100000</v>
      </c>
      <c r="J66" s="4">
        <f t="shared" si="3"/>
        <v>46000</v>
      </c>
    </row>
    <row r="67" spans="1:10" x14ac:dyDescent="0.25">
      <c r="A67" s="3">
        <v>65</v>
      </c>
      <c r="B67" t="s">
        <v>71</v>
      </c>
      <c r="C67" s="3">
        <v>2</v>
      </c>
      <c r="D67" s="3"/>
      <c r="E67" s="3">
        <f t="shared" ref="E67:E83" si="4">C67+D67</f>
        <v>2</v>
      </c>
      <c r="F67" s="4">
        <v>17500</v>
      </c>
      <c r="G67" s="4">
        <f t="shared" si="1"/>
        <v>35000</v>
      </c>
      <c r="H67" s="3">
        <v>2</v>
      </c>
      <c r="I67" s="4">
        <f t="shared" si="2"/>
        <v>17500</v>
      </c>
      <c r="J67" s="4">
        <f t="shared" si="3"/>
        <v>35000</v>
      </c>
    </row>
    <row r="68" spans="1:10" x14ac:dyDescent="0.25">
      <c r="A68" s="3">
        <v>66</v>
      </c>
      <c r="B68" t="s">
        <v>72</v>
      </c>
      <c r="C68" s="3">
        <v>2</v>
      </c>
      <c r="D68" s="3">
        <v>4</v>
      </c>
      <c r="E68" s="3">
        <f t="shared" si="4"/>
        <v>6</v>
      </c>
      <c r="F68" s="4">
        <v>8000</v>
      </c>
      <c r="G68" s="4">
        <f t="shared" si="1"/>
        <v>48000</v>
      </c>
      <c r="H68" s="3">
        <v>5.5</v>
      </c>
      <c r="I68" s="4">
        <f t="shared" si="2"/>
        <v>8000</v>
      </c>
      <c r="J68" s="4">
        <f t="shared" si="3"/>
        <v>44000</v>
      </c>
    </row>
    <row r="69" spans="1:10" x14ac:dyDescent="0.25">
      <c r="A69" s="3">
        <v>67</v>
      </c>
      <c r="B69" t="s">
        <v>73</v>
      </c>
      <c r="C69" s="3">
        <v>0.65</v>
      </c>
      <c r="D69" s="3">
        <v>2</v>
      </c>
      <c r="E69" s="3">
        <f t="shared" si="4"/>
        <v>2.65</v>
      </c>
      <c r="F69" s="4">
        <v>31000</v>
      </c>
      <c r="G69" s="4">
        <f t="shared" si="1"/>
        <v>82150</v>
      </c>
      <c r="H69" s="3">
        <v>1.6</v>
      </c>
      <c r="I69" s="4">
        <f t="shared" si="2"/>
        <v>31000</v>
      </c>
      <c r="J69" s="4">
        <f t="shared" ref="J69:J83" si="5">I69*H69</f>
        <v>49600</v>
      </c>
    </row>
    <row r="70" spans="1:10" x14ac:dyDescent="0.25">
      <c r="A70" s="3">
        <v>68</v>
      </c>
      <c r="B70" t="s">
        <v>74</v>
      </c>
      <c r="C70" s="3">
        <v>0.28999999999999998</v>
      </c>
      <c r="D70" s="3">
        <v>1</v>
      </c>
      <c r="E70" s="3">
        <f t="shared" si="4"/>
        <v>1.29</v>
      </c>
      <c r="F70" s="4">
        <v>24000</v>
      </c>
      <c r="G70" s="4">
        <f t="shared" si="1"/>
        <v>30960</v>
      </c>
      <c r="H70" s="3">
        <v>1</v>
      </c>
      <c r="I70" s="4">
        <f t="shared" si="2"/>
        <v>24000</v>
      </c>
      <c r="J70" s="4">
        <f t="shared" si="5"/>
        <v>24000</v>
      </c>
    </row>
    <row r="71" spans="1:10" x14ac:dyDescent="0.25">
      <c r="A71" s="3">
        <v>69</v>
      </c>
      <c r="B71" t="s">
        <v>75</v>
      </c>
      <c r="C71" s="3"/>
      <c r="D71" s="3"/>
      <c r="E71" s="3">
        <f t="shared" si="4"/>
        <v>0</v>
      </c>
      <c r="F71" s="4"/>
      <c r="G71" s="4">
        <f t="shared" si="1"/>
        <v>0</v>
      </c>
      <c r="H71" s="3"/>
      <c r="I71" s="4">
        <f t="shared" si="2"/>
        <v>0</v>
      </c>
      <c r="J71" s="4">
        <f t="shared" si="5"/>
        <v>0</v>
      </c>
    </row>
    <row r="72" spans="1:10" x14ac:dyDescent="0.25">
      <c r="A72" s="3">
        <v>70</v>
      </c>
      <c r="B72" t="s">
        <v>76</v>
      </c>
      <c r="C72" s="3">
        <v>1</v>
      </c>
      <c r="D72" s="3">
        <v>2</v>
      </c>
      <c r="E72" s="3">
        <f t="shared" si="4"/>
        <v>3</v>
      </c>
      <c r="F72" s="4">
        <v>15000</v>
      </c>
      <c r="G72" s="4">
        <f>F72*E72</f>
        <v>45000</v>
      </c>
      <c r="H72" s="3">
        <v>1.5</v>
      </c>
      <c r="I72" s="4">
        <f t="shared" si="2"/>
        <v>15000</v>
      </c>
      <c r="J72" s="4">
        <f t="shared" si="5"/>
        <v>22500</v>
      </c>
    </row>
    <row r="73" spans="1:10" x14ac:dyDescent="0.25">
      <c r="A73" s="3">
        <v>71</v>
      </c>
      <c r="B73" t="s">
        <v>109</v>
      </c>
      <c r="C73" s="3"/>
      <c r="D73" s="3"/>
      <c r="E73" s="3">
        <f t="shared" si="4"/>
        <v>0</v>
      </c>
      <c r="F73" s="4"/>
      <c r="G73" s="4">
        <f t="shared" si="1"/>
        <v>0</v>
      </c>
      <c r="H73" s="3"/>
      <c r="I73" s="4">
        <f t="shared" si="2"/>
        <v>0</v>
      </c>
      <c r="J73" s="4">
        <f t="shared" si="5"/>
        <v>0</v>
      </c>
    </row>
    <row r="74" spans="1:10" x14ac:dyDescent="0.25">
      <c r="A74" s="3">
        <v>72</v>
      </c>
      <c r="B74" t="s">
        <v>110</v>
      </c>
      <c r="C74" s="3">
        <v>12</v>
      </c>
      <c r="D74" s="3"/>
      <c r="E74" s="3">
        <f t="shared" si="4"/>
        <v>12</v>
      </c>
      <c r="F74" s="4"/>
      <c r="G74" s="4">
        <f t="shared" ref="G74:G83" si="6">F74*E74</f>
        <v>0</v>
      </c>
      <c r="H74" s="3">
        <v>12</v>
      </c>
      <c r="I74" s="4">
        <f t="shared" ref="I74:I83" si="7">F74</f>
        <v>0</v>
      </c>
      <c r="J74" s="4">
        <f t="shared" si="5"/>
        <v>0</v>
      </c>
    </row>
    <row r="75" spans="1:10" x14ac:dyDescent="0.25">
      <c r="A75" s="3">
        <v>73</v>
      </c>
      <c r="B75" t="s">
        <v>111</v>
      </c>
      <c r="C75" s="3">
        <v>3</v>
      </c>
      <c r="D75" s="3"/>
      <c r="E75" s="3">
        <f t="shared" si="4"/>
        <v>3</v>
      </c>
      <c r="F75" s="4"/>
      <c r="G75" s="4">
        <f t="shared" si="6"/>
        <v>0</v>
      </c>
      <c r="H75" s="3">
        <v>2</v>
      </c>
      <c r="I75" s="4">
        <f t="shared" si="7"/>
        <v>0</v>
      </c>
      <c r="J75" s="4">
        <f t="shared" si="5"/>
        <v>0</v>
      </c>
    </row>
    <row r="76" spans="1:10" x14ac:dyDescent="0.25">
      <c r="A76" s="3">
        <v>74</v>
      </c>
      <c r="B76" t="s">
        <v>112</v>
      </c>
      <c r="C76" s="3"/>
      <c r="D76" s="3">
        <v>13</v>
      </c>
      <c r="E76" s="3">
        <f t="shared" si="4"/>
        <v>13</v>
      </c>
      <c r="F76" s="4">
        <v>4875</v>
      </c>
      <c r="G76" s="4">
        <f t="shared" si="6"/>
        <v>63375</v>
      </c>
      <c r="H76" s="3">
        <v>10</v>
      </c>
      <c r="I76" s="4">
        <f t="shared" si="7"/>
        <v>4875</v>
      </c>
      <c r="J76" s="4">
        <f t="shared" si="5"/>
        <v>48750</v>
      </c>
    </row>
    <row r="77" spans="1:10" x14ac:dyDescent="0.25">
      <c r="A77" s="3">
        <v>75</v>
      </c>
      <c r="C77" s="3"/>
      <c r="D77" s="3"/>
      <c r="E77" s="3">
        <f t="shared" si="4"/>
        <v>0</v>
      </c>
      <c r="F77" s="4"/>
      <c r="G77" s="4">
        <f t="shared" si="6"/>
        <v>0</v>
      </c>
      <c r="H77" s="3"/>
      <c r="I77" s="4">
        <f t="shared" si="7"/>
        <v>0</v>
      </c>
      <c r="J77" s="4">
        <f t="shared" si="5"/>
        <v>0</v>
      </c>
    </row>
    <row r="78" spans="1:10" x14ac:dyDescent="0.25">
      <c r="A78" s="3">
        <v>76</v>
      </c>
      <c r="C78" s="3"/>
      <c r="D78" s="3"/>
      <c r="E78" s="3">
        <f t="shared" si="4"/>
        <v>0</v>
      </c>
      <c r="F78" s="4"/>
      <c r="G78" s="4">
        <f t="shared" si="6"/>
        <v>0</v>
      </c>
      <c r="H78" s="3"/>
      <c r="I78" s="4">
        <f t="shared" si="7"/>
        <v>0</v>
      </c>
      <c r="J78" s="4">
        <f t="shared" si="5"/>
        <v>0</v>
      </c>
    </row>
    <row r="79" spans="1:10" x14ac:dyDescent="0.25">
      <c r="A79" s="3">
        <v>77</v>
      </c>
      <c r="C79" s="3"/>
      <c r="D79" s="3"/>
      <c r="E79" s="3">
        <f t="shared" si="4"/>
        <v>0</v>
      </c>
      <c r="F79" s="4"/>
      <c r="G79" s="4">
        <f t="shared" si="6"/>
        <v>0</v>
      </c>
      <c r="H79" s="3"/>
      <c r="I79" s="4">
        <f t="shared" si="7"/>
        <v>0</v>
      </c>
      <c r="J79" s="4">
        <f t="shared" si="5"/>
        <v>0</v>
      </c>
    </row>
    <row r="80" spans="1:10" x14ac:dyDescent="0.25">
      <c r="A80" s="3">
        <v>78</v>
      </c>
      <c r="C80" s="3"/>
      <c r="D80" s="3"/>
      <c r="E80" s="3">
        <f t="shared" si="4"/>
        <v>0</v>
      </c>
      <c r="F80" s="4"/>
      <c r="G80" s="4">
        <f t="shared" si="6"/>
        <v>0</v>
      </c>
      <c r="H80" s="3"/>
      <c r="I80" s="4">
        <f t="shared" si="7"/>
        <v>0</v>
      </c>
      <c r="J80" s="4">
        <f t="shared" si="5"/>
        <v>0</v>
      </c>
    </row>
    <row r="81" spans="1:10" x14ac:dyDescent="0.25">
      <c r="A81" s="3">
        <v>79</v>
      </c>
      <c r="C81" s="3"/>
      <c r="D81" s="3"/>
      <c r="E81" s="3">
        <f t="shared" si="4"/>
        <v>0</v>
      </c>
      <c r="F81" s="4"/>
      <c r="G81" s="4">
        <f t="shared" si="6"/>
        <v>0</v>
      </c>
      <c r="H81" s="3"/>
      <c r="I81" s="4">
        <f t="shared" si="7"/>
        <v>0</v>
      </c>
      <c r="J81" s="4">
        <f t="shared" si="5"/>
        <v>0</v>
      </c>
    </row>
    <row r="82" spans="1:10" x14ac:dyDescent="0.25">
      <c r="A82" s="3">
        <v>80</v>
      </c>
      <c r="C82" s="3"/>
      <c r="D82" s="3"/>
      <c r="E82" s="3">
        <f t="shared" si="4"/>
        <v>0</v>
      </c>
      <c r="F82" s="4"/>
      <c r="G82" s="4">
        <f t="shared" si="6"/>
        <v>0</v>
      </c>
      <c r="H82" s="3"/>
      <c r="I82" s="4">
        <f t="shared" si="7"/>
        <v>0</v>
      </c>
      <c r="J82" s="4">
        <f t="shared" si="5"/>
        <v>0</v>
      </c>
    </row>
    <row r="83" spans="1:10" x14ac:dyDescent="0.25">
      <c r="A83" s="3">
        <v>81</v>
      </c>
      <c r="C83" s="3"/>
      <c r="D83" s="3"/>
      <c r="E83" s="3">
        <f t="shared" si="4"/>
        <v>0</v>
      </c>
      <c r="F83" s="4"/>
      <c r="G83" s="4">
        <f t="shared" si="6"/>
        <v>0</v>
      </c>
      <c r="H83" s="3"/>
      <c r="I83" s="4">
        <f t="shared" si="7"/>
        <v>0</v>
      </c>
      <c r="J83" s="4">
        <f t="shared" si="5"/>
        <v>0</v>
      </c>
    </row>
    <row r="84" spans="1:10" x14ac:dyDescent="0.25">
      <c r="A84" s="3"/>
      <c r="C84" s="3"/>
      <c r="D84" s="3"/>
      <c r="E84" s="3"/>
      <c r="F84" s="4"/>
      <c r="G84" s="4"/>
      <c r="H84" s="3"/>
      <c r="I84" s="4"/>
      <c r="J84" s="4"/>
    </row>
    <row r="85" spans="1:10" x14ac:dyDescent="0.25">
      <c r="A85" s="7" t="s">
        <v>77</v>
      </c>
      <c r="B85" s="7"/>
      <c r="C85" s="7"/>
      <c r="D85" s="7"/>
      <c r="E85" s="7"/>
      <c r="F85" s="7"/>
      <c r="G85" s="5">
        <f>SUM(G3:G84)</f>
        <v>1776820</v>
      </c>
      <c r="H85" s="5"/>
      <c r="I85" s="5"/>
      <c r="J85" s="5">
        <f>SUM(J3:J84)</f>
        <v>1205320</v>
      </c>
    </row>
    <row r="86" spans="1:10" x14ac:dyDescent="0.25">
      <c r="A86" s="3"/>
      <c r="C86" s="3"/>
      <c r="D86" s="3"/>
      <c r="E86" s="3"/>
      <c r="F86" s="4"/>
      <c r="G86" s="4"/>
      <c r="H86" s="3"/>
      <c r="I86" s="4"/>
      <c r="J86" s="4"/>
    </row>
    <row r="87" spans="1:10" ht="27.75" customHeight="1" x14ac:dyDescent="0.25">
      <c r="A87" s="6" t="s">
        <v>78</v>
      </c>
      <c r="B87" s="6"/>
      <c r="C87" s="6"/>
      <c r="D87" s="6"/>
      <c r="E87" s="6"/>
      <c r="F87" s="6"/>
      <c r="G87" s="6"/>
      <c r="H87" s="6"/>
      <c r="I87" s="6"/>
      <c r="J87" s="6"/>
    </row>
    <row r="88" spans="1:10" s="2" customFormat="1" ht="15.75" customHeight="1" x14ac:dyDescent="0.25">
      <c r="A88" s="1" t="s">
        <v>1</v>
      </c>
      <c r="B88" s="1" t="s">
        <v>2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7</v>
      </c>
      <c r="H88" s="1" t="s">
        <v>83</v>
      </c>
      <c r="I88" s="1" t="s">
        <v>82</v>
      </c>
      <c r="J88" s="1" t="s">
        <v>7</v>
      </c>
    </row>
    <row r="89" spans="1:10" x14ac:dyDescent="0.25">
      <c r="A89" s="3">
        <v>1</v>
      </c>
      <c r="B89" t="s">
        <v>84</v>
      </c>
      <c r="C89" s="3">
        <v>23</v>
      </c>
      <c r="D89" s="3"/>
      <c r="E89" s="3">
        <f>C89+D89</f>
        <v>23</v>
      </c>
      <c r="F89" s="4">
        <v>1240</v>
      </c>
      <c r="G89" s="4">
        <f>F89*E89</f>
        <v>28520</v>
      </c>
      <c r="H89" s="3">
        <v>22</v>
      </c>
      <c r="I89" s="4">
        <f>F89</f>
        <v>1240</v>
      </c>
      <c r="J89" s="4">
        <f t="shared" ref="J89:J104" si="8">I89*H91</f>
        <v>8680</v>
      </c>
    </row>
    <row r="90" spans="1:10" x14ac:dyDescent="0.25">
      <c r="A90" s="3">
        <v>2</v>
      </c>
      <c r="B90" t="s">
        <v>85</v>
      </c>
      <c r="C90" s="3">
        <v>30</v>
      </c>
      <c r="D90" s="3"/>
      <c r="E90" s="3">
        <f>C90+D90</f>
        <v>30</v>
      </c>
      <c r="F90" s="4">
        <v>1000</v>
      </c>
      <c r="G90" s="4">
        <f t="shared" ref="G90:G120" si="9">F90*E90</f>
        <v>30000</v>
      </c>
      <c r="H90" s="3">
        <v>25</v>
      </c>
      <c r="I90" s="4">
        <f t="shared" ref="I90:I120" si="10">F90</f>
        <v>1000</v>
      </c>
      <c r="J90" s="4">
        <f t="shared" si="8"/>
        <v>7000</v>
      </c>
    </row>
    <row r="91" spans="1:10" x14ac:dyDescent="0.25">
      <c r="A91" s="3">
        <v>3</v>
      </c>
      <c r="B91" t="s">
        <v>86</v>
      </c>
      <c r="C91" s="3">
        <v>8</v>
      </c>
      <c r="D91" s="3">
        <v>10</v>
      </c>
      <c r="E91" s="3">
        <f t="shared" ref="E91:E120" si="11">C91+D91</f>
        <v>18</v>
      </c>
      <c r="F91" s="4">
        <v>1650</v>
      </c>
      <c r="G91" s="4">
        <f t="shared" si="9"/>
        <v>29700</v>
      </c>
      <c r="H91" s="3">
        <v>7</v>
      </c>
      <c r="I91" s="4">
        <f t="shared" si="10"/>
        <v>1650</v>
      </c>
      <c r="J91" s="4">
        <f t="shared" si="8"/>
        <v>16500</v>
      </c>
    </row>
    <row r="92" spans="1:10" x14ac:dyDescent="0.25">
      <c r="A92" s="3">
        <v>4</v>
      </c>
      <c r="B92" t="s">
        <v>87</v>
      </c>
      <c r="C92" s="3"/>
      <c r="D92" s="3">
        <v>10</v>
      </c>
      <c r="E92" s="3">
        <f t="shared" si="11"/>
        <v>10</v>
      </c>
      <c r="F92" s="4">
        <v>1650</v>
      </c>
      <c r="G92" s="4">
        <f t="shared" si="9"/>
        <v>16500</v>
      </c>
      <c r="H92" s="3">
        <v>7</v>
      </c>
      <c r="I92" s="4">
        <f t="shared" si="10"/>
        <v>1650</v>
      </c>
      <c r="J92" s="4">
        <f t="shared" si="8"/>
        <v>24750</v>
      </c>
    </row>
    <row r="93" spans="1:10" x14ac:dyDescent="0.25">
      <c r="A93" s="3">
        <v>5</v>
      </c>
      <c r="B93" t="s">
        <v>88</v>
      </c>
      <c r="C93" s="3">
        <v>12</v>
      </c>
      <c r="D93" s="3"/>
      <c r="E93" s="3">
        <f t="shared" si="11"/>
        <v>12</v>
      </c>
      <c r="F93" s="4">
        <v>1750</v>
      </c>
      <c r="G93" s="4">
        <f t="shared" si="9"/>
        <v>21000</v>
      </c>
      <c r="H93" s="3">
        <v>10</v>
      </c>
      <c r="I93" s="4">
        <f t="shared" si="10"/>
        <v>1750</v>
      </c>
      <c r="J93" s="4">
        <f t="shared" si="8"/>
        <v>14000</v>
      </c>
    </row>
    <row r="94" spans="1:10" x14ac:dyDescent="0.25">
      <c r="A94" s="3">
        <v>6</v>
      </c>
      <c r="B94" t="s">
        <v>89</v>
      </c>
      <c r="C94" s="3">
        <v>17</v>
      </c>
      <c r="D94" s="3"/>
      <c r="E94" s="3">
        <f t="shared" si="11"/>
        <v>17</v>
      </c>
      <c r="F94" s="4">
        <v>1500</v>
      </c>
      <c r="G94" s="4">
        <f t="shared" si="9"/>
        <v>25500</v>
      </c>
      <c r="H94" s="3">
        <v>15</v>
      </c>
      <c r="I94" s="4">
        <f t="shared" si="10"/>
        <v>1500</v>
      </c>
      <c r="J94" s="4">
        <f t="shared" si="8"/>
        <v>19500</v>
      </c>
    </row>
    <row r="95" spans="1:10" x14ac:dyDescent="0.25">
      <c r="A95" s="3">
        <v>7</v>
      </c>
      <c r="B95" t="s">
        <v>90</v>
      </c>
      <c r="C95" s="3">
        <v>5</v>
      </c>
      <c r="D95" s="3">
        <v>6</v>
      </c>
      <c r="E95" s="3">
        <f t="shared" si="11"/>
        <v>11</v>
      </c>
      <c r="F95" s="4">
        <v>1500</v>
      </c>
      <c r="G95" s="4">
        <f t="shared" si="9"/>
        <v>16500</v>
      </c>
      <c r="H95" s="3">
        <v>8</v>
      </c>
      <c r="I95" s="4">
        <f t="shared" si="10"/>
        <v>1500</v>
      </c>
      <c r="J95" s="4">
        <f t="shared" si="8"/>
        <v>1500</v>
      </c>
    </row>
    <row r="96" spans="1:10" x14ac:dyDescent="0.25">
      <c r="A96" s="3">
        <v>8</v>
      </c>
      <c r="B96" t="s">
        <v>91</v>
      </c>
      <c r="C96" s="3">
        <v>5</v>
      </c>
      <c r="D96" s="3">
        <v>12</v>
      </c>
      <c r="E96" s="3">
        <f t="shared" si="11"/>
        <v>17</v>
      </c>
      <c r="F96" s="4">
        <v>3350</v>
      </c>
      <c r="G96" s="4">
        <f t="shared" si="9"/>
        <v>56950</v>
      </c>
      <c r="H96" s="3">
        <v>13</v>
      </c>
      <c r="I96" s="4">
        <f t="shared" si="10"/>
        <v>3350</v>
      </c>
      <c r="J96" s="4">
        <f t="shared" si="8"/>
        <v>33500</v>
      </c>
    </row>
    <row r="97" spans="1:10" x14ac:dyDescent="0.25">
      <c r="A97" s="3">
        <v>9</v>
      </c>
      <c r="B97" t="s">
        <v>92</v>
      </c>
      <c r="C97" s="3">
        <v>1</v>
      </c>
      <c r="D97" s="3">
        <v>1</v>
      </c>
      <c r="E97" s="3">
        <f t="shared" si="11"/>
        <v>2</v>
      </c>
      <c r="F97" s="4">
        <v>23000</v>
      </c>
      <c r="G97" s="4">
        <f t="shared" si="9"/>
        <v>46000</v>
      </c>
      <c r="H97" s="3">
        <v>1</v>
      </c>
      <c r="I97" s="4">
        <f t="shared" si="10"/>
        <v>23000</v>
      </c>
      <c r="J97" s="4">
        <f t="shared" si="8"/>
        <v>23000</v>
      </c>
    </row>
    <row r="98" spans="1:10" x14ac:dyDescent="0.25">
      <c r="A98" s="3">
        <v>10</v>
      </c>
      <c r="B98" t="s">
        <v>93</v>
      </c>
      <c r="C98" s="3">
        <v>2</v>
      </c>
      <c r="D98" s="3">
        <v>10</v>
      </c>
      <c r="E98" s="3">
        <f t="shared" si="11"/>
        <v>12</v>
      </c>
      <c r="F98" s="4">
        <v>9000</v>
      </c>
      <c r="G98" s="4">
        <f t="shared" si="9"/>
        <v>108000</v>
      </c>
      <c r="H98" s="3">
        <v>10</v>
      </c>
      <c r="I98" s="4">
        <f t="shared" si="10"/>
        <v>9000</v>
      </c>
      <c r="J98" s="4">
        <f t="shared" si="8"/>
        <v>18000</v>
      </c>
    </row>
    <row r="99" spans="1:10" x14ac:dyDescent="0.25">
      <c r="A99" s="3">
        <v>11</v>
      </c>
      <c r="B99" t="s">
        <v>94</v>
      </c>
      <c r="C99" s="3">
        <v>1</v>
      </c>
      <c r="D99" s="3">
        <v>1</v>
      </c>
      <c r="E99" s="3">
        <f t="shared" si="11"/>
        <v>2</v>
      </c>
      <c r="F99" s="4">
        <v>6000</v>
      </c>
      <c r="G99" s="4">
        <f t="shared" si="9"/>
        <v>12000</v>
      </c>
      <c r="H99" s="3">
        <v>1</v>
      </c>
      <c r="I99" s="4">
        <f t="shared" si="10"/>
        <v>6000</v>
      </c>
      <c r="J99" s="4">
        <f t="shared" si="8"/>
        <v>18000</v>
      </c>
    </row>
    <row r="100" spans="1:10" x14ac:dyDescent="0.25">
      <c r="A100" s="3">
        <v>12</v>
      </c>
      <c r="B100" t="s">
        <v>95</v>
      </c>
      <c r="C100" s="3">
        <v>2</v>
      </c>
      <c r="D100" s="3">
        <v>5</v>
      </c>
      <c r="E100" s="3">
        <f t="shared" si="11"/>
        <v>7</v>
      </c>
      <c r="F100" s="4">
        <v>8000</v>
      </c>
      <c r="G100" s="4">
        <f t="shared" si="9"/>
        <v>56000</v>
      </c>
      <c r="H100" s="3">
        <v>2</v>
      </c>
      <c r="I100" s="4">
        <f t="shared" si="10"/>
        <v>8000</v>
      </c>
      <c r="J100" s="4">
        <f t="shared" si="8"/>
        <v>0</v>
      </c>
    </row>
    <row r="101" spans="1:10" x14ac:dyDescent="0.25">
      <c r="A101" s="3">
        <v>13</v>
      </c>
      <c r="B101" t="s">
        <v>96</v>
      </c>
      <c r="C101" s="3">
        <v>5</v>
      </c>
      <c r="D101" s="3"/>
      <c r="E101" s="3">
        <f t="shared" si="11"/>
        <v>5</v>
      </c>
      <c r="F101" s="4">
        <v>3300</v>
      </c>
      <c r="G101" s="4">
        <f t="shared" si="9"/>
        <v>16500</v>
      </c>
      <c r="H101" s="3">
        <v>3</v>
      </c>
      <c r="I101" s="4">
        <f t="shared" si="10"/>
        <v>3300</v>
      </c>
      <c r="J101" s="4">
        <f t="shared" si="8"/>
        <v>0</v>
      </c>
    </row>
    <row r="102" spans="1:10" x14ac:dyDescent="0.25">
      <c r="A102" s="3">
        <v>14</v>
      </c>
      <c r="B102" t="s">
        <v>97</v>
      </c>
      <c r="C102" s="3"/>
      <c r="D102" s="3"/>
      <c r="E102" s="3">
        <f t="shared" si="11"/>
        <v>0</v>
      </c>
      <c r="F102" s="4"/>
      <c r="G102" s="4">
        <f t="shared" si="9"/>
        <v>0</v>
      </c>
      <c r="H102" s="3"/>
      <c r="I102" s="4">
        <f t="shared" si="10"/>
        <v>0</v>
      </c>
      <c r="J102" s="4">
        <f t="shared" si="8"/>
        <v>0</v>
      </c>
    </row>
    <row r="103" spans="1:10" x14ac:dyDescent="0.25">
      <c r="A103" s="3">
        <v>15</v>
      </c>
      <c r="B103" t="s">
        <v>98</v>
      </c>
      <c r="C103" s="3"/>
      <c r="D103" s="3"/>
      <c r="E103" s="3">
        <f t="shared" si="11"/>
        <v>0</v>
      </c>
      <c r="F103" s="4"/>
      <c r="G103" s="4">
        <f t="shared" si="9"/>
        <v>0</v>
      </c>
      <c r="H103" s="3"/>
      <c r="I103" s="4">
        <f t="shared" si="10"/>
        <v>0</v>
      </c>
      <c r="J103" s="4">
        <f t="shared" si="8"/>
        <v>0</v>
      </c>
    </row>
    <row r="104" spans="1:10" x14ac:dyDescent="0.25">
      <c r="A104" s="3">
        <v>16</v>
      </c>
      <c r="B104" t="s">
        <v>99</v>
      </c>
      <c r="C104" s="3"/>
      <c r="D104" s="3"/>
      <c r="E104" s="3">
        <f t="shared" si="11"/>
        <v>0</v>
      </c>
      <c r="F104" s="4"/>
      <c r="G104" s="4">
        <f t="shared" si="9"/>
        <v>0</v>
      </c>
      <c r="H104" s="3"/>
      <c r="I104" s="4">
        <f t="shared" si="10"/>
        <v>0</v>
      </c>
      <c r="J104" s="4">
        <f t="shared" si="8"/>
        <v>0</v>
      </c>
    </row>
    <row r="105" spans="1:10" x14ac:dyDescent="0.25">
      <c r="A105" s="3">
        <v>17</v>
      </c>
      <c r="B105" t="s">
        <v>100</v>
      </c>
      <c r="C105" s="3"/>
      <c r="D105" s="3"/>
      <c r="E105" s="3">
        <f t="shared" si="11"/>
        <v>0</v>
      </c>
      <c r="F105" s="4"/>
      <c r="G105" s="4">
        <f t="shared" si="9"/>
        <v>0</v>
      </c>
      <c r="H105" s="3"/>
      <c r="I105" s="4">
        <f t="shared" si="10"/>
        <v>0</v>
      </c>
      <c r="J105" s="4">
        <f t="shared" ref="J105:J107" si="12">I105*H107</f>
        <v>0</v>
      </c>
    </row>
    <row r="106" spans="1:10" x14ac:dyDescent="0.25">
      <c r="A106" s="3">
        <v>18</v>
      </c>
      <c r="B106" t="s">
        <v>101</v>
      </c>
      <c r="C106" s="3"/>
      <c r="D106" s="3"/>
      <c r="E106" s="3">
        <f t="shared" si="11"/>
        <v>0</v>
      </c>
      <c r="F106" s="4"/>
      <c r="G106" s="4">
        <f t="shared" si="9"/>
        <v>0</v>
      </c>
      <c r="H106" s="3"/>
      <c r="I106" s="4">
        <f t="shared" si="10"/>
        <v>0</v>
      </c>
      <c r="J106" s="4">
        <f t="shared" si="12"/>
        <v>0</v>
      </c>
    </row>
    <row r="107" spans="1:10" x14ac:dyDescent="0.25">
      <c r="A107" s="3">
        <v>19</v>
      </c>
      <c r="B107" t="s">
        <v>102</v>
      </c>
      <c r="C107" s="3"/>
      <c r="D107" s="3"/>
      <c r="E107" s="3">
        <f t="shared" si="11"/>
        <v>0</v>
      </c>
      <c r="F107" s="4"/>
      <c r="G107" s="4">
        <f t="shared" si="9"/>
        <v>0</v>
      </c>
      <c r="H107" s="3"/>
      <c r="I107" s="4">
        <f t="shared" si="10"/>
        <v>0</v>
      </c>
      <c r="J107" s="4">
        <f t="shared" si="12"/>
        <v>0</v>
      </c>
    </row>
    <row r="108" spans="1:10" x14ac:dyDescent="0.25">
      <c r="A108" s="3">
        <v>20</v>
      </c>
      <c r="B108" t="s">
        <v>103</v>
      </c>
      <c r="C108" s="3"/>
      <c r="D108" s="3"/>
      <c r="E108" s="3">
        <f t="shared" si="11"/>
        <v>0</v>
      </c>
      <c r="F108" s="4">
        <v>6000</v>
      </c>
      <c r="G108" s="4">
        <f t="shared" si="9"/>
        <v>0</v>
      </c>
      <c r="H108" s="3"/>
      <c r="I108" s="4">
        <f t="shared" si="10"/>
        <v>6000</v>
      </c>
      <c r="J108" s="4">
        <f>I108*H108</f>
        <v>0</v>
      </c>
    </row>
    <row r="109" spans="1:10" x14ac:dyDescent="0.25">
      <c r="A109" s="3">
        <v>21</v>
      </c>
      <c r="B109" t="s">
        <v>104</v>
      </c>
      <c r="C109" s="3"/>
      <c r="D109" s="3"/>
      <c r="E109" s="3">
        <f t="shared" si="11"/>
        <v>0</v>
      </c>
      <c r="F109" s="4">
        <v>8000</v>
      </c>
      <c r="G109" s="4">
        <f t="shared" si="9"/>
        <v>0</v>
      </c>
      <c r="H109" s="3"/>
      <c r="I109" s="4">
        <f t="shared" si="10"/>
        <v>8000</v>
      </c>
      <c r="J109" s="4">
        <f t="shared" ref="J109:J120" si="13">I109*H109</f>
        <v>0</v>
      </c>
    </row>
    <row r="110" spans="1:10" x14ac:dyDescent="0.25">
      <c r="A110" s="3">
        <v>22</v>
      </c>
      <c r="B110" t="s">
        <v>105</v>
      </c>
      <c r="C110" s="3"/>
      <c r="D110" s="3"/>
      <c r="E110" s="3">
        <f t="shared" si="11"/>
        <v>0</v>
      </c>
      <c r="F110" s="4"/>
      <c r="G110" s="4">
        <f t="shared" si="9"/>
        <v>0</v>
      </c>
      <c r="H110" s="3"/>
      <c r="I110" s="4">
        <f t="shared" si="10"/>
        <v>0</v>
      </c>
      <c r="J110" s="4">
        <f t="shared" si="13"/>
        <v>0</v>
      </c>
    </row>
    <row r="111" spans="1:10" x14ac:dyDescent="0.25">
      <c r="A111" s="3">
        <v>23</v>
      </c>
      <c r="B111" t="s">
        <v>106</v>
      </c>
      <c r="C111" s="3">
        <v>3</v>
      </c>
      <c r="D111" s="3">
        <v>4</v>
      </c>
      <c r="E111" s="3">
        <f t="shared" si="11"/>
        <v>7</v>
      </c>
      <c r="F111" s="4">
        <v>4000</v>
      </c>
      <c r="G111" s="4">
        <f t="shared" si="9"/>
        <v>28000</v>
      </c>
      <c r="H111" s="3">
        <v>4</v>
      </c>
      <c r="I111" s="4">
        <f t="shared" si="10"/>
        <v>4000</v>
      </c>
      <c r="J111" s="4">
        <f t="shared" si="13"/>
        <v>16000</v>
      </c>
    </row>
    <row r="112" spans="1:10" x14ac:dyDescent="0.25">
      <c r="A112" s="3">
        <v>24</v>
      </c>
      <c r="B112" t="s">
        <v>107</v>
      </c>
      <c r="C112" s="3">
        <v>1</v>
      </c>
      <c r="D112" s="3">
        <v>4</v>
      </c>
      <c r="E112" s="3">
        <f t="shared" si="11"/>
        <v>5</v>
      </c>
      <c r="F112" s="4">
        <v>24000</v>
      </c>
      <c r="G112" s="4">
        <f t="shared" si="9"/>
        <v>120000</v>
      </c>
      <c r="H112" s="3">
        <v>3</v>
      </c>
      <c r="I112" s="4">
        <f t="shared" si="10"/>
        <v>24000</v>
      </c>
      <c r="J112" s="4">
        <f t="shared" si="13"/>
        <v>72000</v>
      </c>
    </row>
    <row r="113" spans="1:10" x14ac:dyDescent="0.25">
      <c r="A113" s="3">
        <v>25</v>
      </c>
      <c r="B113" t="s">
        <v>114</v>
      </c>
      <c r="C113" s="3"/>
      <c r="D113" s="3"/>
      <c r="E113" s="3">
        <f t="shared" si="11"/>
        <v>0</v>
      </c>
      <c r="F113" s="4">
        <v>6000</v>
      </c>
      <c r="G113" s="4">
        <f t="shared" si="9"/>
        <v>0</v>
      </c>
      <c r="H113" s="3"/>
      <c r="I113" s="4">
        <f t="shared" si="10"/>
        <v>6000</v>
      </c>
      <c r="J113" s="4">
        <f t="shared" si="13"/>
        <v>0</v>
      </c>
    </row>
    <row r="114" spans="1:10" x14ac:dyDescent="0.25">
      <c r="A114" s="3">
        <v>26</v>
      </c>
      <c r="C114" s="3"/>
      <c r="D114" s="3"/>
      <c r="E114" s="3">
        <f t="shared" si="11"/>
        <v>0</v>
      </c>
      <c r="F114" s="4"/>
      <c r="G114" s="4">
        <f t="shared" si="9"/>
        <v>0</v>
      </c>
      <c r="H114" s="3"/>
      <c r="I114" s="4">
        <f t="shared" si="10"/>
        <v>0</v>
      </c>
      <c r="J114" s="4">
        <f t="shared" si="13"/>
        <v>0</v>
      </c>
    </row>
    <row r="115" spans="1:10" x14ac:dyDescent="0.25">
      <c r="A115" s="3">
        <v>27</v>
      </c>
      <c r="C115" s="3"/>
      <c r="D115" s="3"/>
      <c r="E115" s="3">
        <f t="shared" si="11"/>
        <v>0</v>
      </c>
      <c r="F115" s="4"/>
      <c r="G115" s="4">
        <f t="shared" si="9"/>
        <v>0</v>
      </c>
      <c r="H115" s="3"/>
      <c r="I115" s="4">
        <f t="shared" si="10"/>
        <v>0</v>
      </c>
      <c r="J115" s="4">
        <f t="shared" si="13"/>
        <v>0</v>
      </c>
    </row>
    <row r="116" spans="1:10" x14ac:dyDescent="0.25">
      <c r="A116" s="3">
        <v>28</v>
      </c>
      <c r="C116" s="3"/>
      <c r="D116" s="3"/>
      <c r="E116" s="3">
        <f t="shared" si="11"/>
        <v>0</v>
      </c>
      <c r="F116" s="4"/>
      <c r="G116" s="4">
        <f t="shared" si="9"/>
        <v>0</v>
      </c>
      <c r="H116" s="3"/>
      <c r="I116" s="4">
        <f t="shared" si="10"/>
        <v>0</v>
      </c>
      <c r="J116" s="4">
        <f t="shared" si="13"/>
        <v>0</v>
      </c>
    </row>
    <row r="117" spans="1:10" x14ac:dyDescent="0.25">
      <c r="A117" s="3">
        <v>29</v>
      </c>
      <c r="C117" s="3"/>
      <c r="D117" s="3"/>
      <c r="E117" s="3">
        <f t="shared" si="11"/>
        <v>0</v>
      </c>
      <c r="F117" s="4"/>
      <c r="G117" s="4">
        <f t="shared" si="9"/>
        <v>0</v>
      </c>
      <c r="H117" s="3"/>
      <c r="I117" s="4">
        <f t="shared" si="10"/>
        <v>0</v>
      </c>
      <c r="J117" s="4">
        <f t="shared" si="13"/>
        <v>0</v>
      </c>
    </row>
    <row r="118" spans="1:10" x14ac:dyDescent="0.25">
      <c r="A118" s="3">
        <v>30</v>
      </c>
      <c r="C118" s="3"/>
      <c r="D118" s="3"/>
      <c r="E118" s="3">
        <f t="shared" si="11"/>
        <v>0</v>
      </c>
      <c r="F118" s="4"/>
      <c r="G118" s="4">
        <f t="shared" si="9"/>
        <v>0</v>
      </c>
      <c r="H118" s="3"/>
      <c r="I118" s="4">
        <f t="shared" si="10"/>
        <v>0</v>
      </c>
      <c r="J118" s="4">
        <f t="shared" si="13"/>
        <v>0</v>
      </c>
    </row>
    <row r="119" spans="1:10" x14ac:dyDescent="0.25">
      <c r="A119" s="3">
        <v>31</v>
      </c>
      <c r="C119" s="3"/>
      <c r="D119" s="3"/>
      <c r="E119" s="3">
        <f t="shared" si="11"/>
        <v>0</v>
      </c>
      <c r="F119" s="4"/>
      <c r="G119" s="4">
        <f t="shared" si="9"/>
        <v>0</v>
      </c>
      <c r="H119" s="3"/>
      <c r="I119" s="4">
        <f t="shared" si="10"/>
        <v>0</v>
      </c>
      <c r="J119" s="4">
        <f t="shared" si="13"/>
        <v>0</v>
      </c>
    </row>
    <row r="120" spans="1:10" x14ac:dyDescent="0.25">
      <c r="A120" s="3">
        <v>32</v>
      </c>
      <c r="C120" s="3"/>
      <c r="D120" s="3"/>
      <c r="E120" s="3">
        <f t="shared" si="11"/>
        <v>0</v>
      </c>
      <c r="F120" s="4"/>
      <c r="G120" s="4">
        <f t="shared" si="9"/>
        <v>0</v>
      </c>
      <c r="H120" s="3"/>
      <c r="I120" s="4">
        <f t="shared" si="10"/>
        <v>0</v>
      </c>
      <c r="J120" s="4">
        <f t="shared" si="13"/>
        <v>0</v>
      </c>
    </row>
    <row r="121" spans="1:10" x14ac:dyDescent="0.25">
      <c r="A121" s="7" t="s">
        <v>77</v>
      </c>
      <c r="B121" s="7"/>
      <c r="C121" s="7"/>
      <c r="D121" s="7"/>
      <c r="E121" s="7"/>
      <c r="F121" s="7"/>
      <c r="G121" s="5">
        <f>SUM(G89:G120)</f>
        <v>611170</v>
      </c>
      <c r="H121" s="5"/>
      <c r="I121" s="5"/>
      <c r="J121" s="5">
        <f>SUM(J89:J120)</f>
        <v>272430</v>
      </c>
    </row>
    <row r="122" spans="1:10" x14ac:dyDescent="0.25">
      <c r="C122" s="3"/>
      <c r="D122" s="3"/>
      <c r="E122" s="3"/>
      <c r="F122" s="4"/>
      <c r="G122" s="4"/>
      <c r="H122" s="3"/>
      <c r="I122" s="4"/>
      <c r="J122" s="4"/>
    </row>
    <row r="123" spans="1:10" x14ac:dyDescent="0.25">
      <c r="C123" s="3"/>
      <c r="D123" s="3"/>
      <c r="E123" s="3"/>
      <c r="F123" s="4"/>
      <c r="G123" s="4"/>
      <c r="H123" s="3"/>
      <c r="I123" s="4"/>
      <c r="J123" s="4"/>
    </row>
    <row r="124" spans="1:10" x14ac:dyDescent="0.25">
      <c r="A124" s="8" t="s">
        <v>108</v>
      </c>
      <c r="B124" s="8"/>
      <c r="C124" s="8"/>
      <c r="D124" s="8"/>
      <c r="E124" s="8"/>
      <c r="F124" s="8"/>
      <c r="G124" s="8"/>
      <c r="H124" s="8"/>
      <c r="I124" s="8"/>
      <c r="J124" s="4">
        <f>J85+J121</f>
        <v>1477750</v>
      </c>
    </row>
    <row r="125" spans="1:10" x14ac:dyDescent="0.25">
      <c r="C125" s="3"/>
      <c r="D125" s="3"/>
      <c r="E125" s="3"/>
      <c r="F125" s="4"/>
      <c r="G125" s="4"/>
      <c r="H125" s="3"/>
      <c r="I125" s="4"/>
      <c r="J125" s="4"/>
    </row>
    <row r="126" spans="1:10" x14ac:dyDescent="0.25">
      <c r="C126" s="3"/>
      <c r="D126" s="3"/>
      <c r="E126" s="3"/>
      <c r="F126" s="4"/>
      <c r="G126" s="4"/>
      <c r="H126" s="3"/>
      <c r="I126" s="4"/>
      <c r="J126" s="4"/>
    </row>
    <row r="127" spans="1:10" x14ac:dyDescent="0.25">
      <c r="C127" s="3"/>
      <c r="D127" s="3"/>
      <c r="E127" s="3"/>
      <c r="F127" s="4"/>
      <c r="G127" s="4"/>
      <c r="H127" s="3"/>
      <c r="I127" s="4"/>
      <c r="J127" s="4"/>
    </row>
    <row r="128" spans="1:10" x14ac:dyDescent="0.25">
      <c r="C128" s="3"/>
      <c r="D128" s="3"/>
      <c r="E128" s="3"/>
      <c r="F128" s="4"/>
      <c r="G128" s="4"/>
      <c r="H128" s="3"/>
      <c r="I128" s="4"/>
      <c r="J128" s="4"/>
    </row>
    <row r="129" spans="3:10" x14ac:dyDescent="0.25">
      <c r="C129" s="3"/>
      <c r="D129" s="3"/>
      <c r="E129" s="3"/>
      <c r="F129" s="4"/>
      <c r="G129" s="4"/>
      <c r="H129" s="3"/>
      <c r="I129" s="4"/>
      <c r="J129" s="4"/>
    </row>
    <row r="130" spans="3:10" x14ac:dyDescent="0.25">
      <c r="C130" s="3"/>
      <c r="D130" s="3"/>
      <c r="E130" s="3"/>
      <c r="F130" s="4"/>
      <c r="G130" s="4"/>
      <c r="H130" s="3"/>
      <c r="I130" s="4"/>
      <c r="J130" s="4"/>
    </row>
    <row r="131" spans="3:10" x14ac:dyDescent="0.25">
      <c r="C131" s="3"/>
      <c r="D131" s="3"/>
      <c r="E131" s="3"/>
      <c r="F131" s="4"/>
      <c r="G131" s="4"/>
      <c r="H131" s="3"/>
      <c r="I131" s="4"/>
      <c r="J131" s="4"/>
    </row>
    <row r="132" spans="3:10" x14ac:dyDescent="0.25">
      <c r="C132" s="3"/>
      <c r="D132" s="3"/>
      <c r="E132" s="3"/>
      <c r="F132" s="4"/>
      <c r="G132" s="4"/>
      <c r="H132" s="3"/>
      <c r="I132" s="4"/>
      <c r="J132" s="4"/>
    </row>
    <row r="133" spans="3:10" x14ac:dyDescent="0.25">
      <c r="C133" s="3"/>
      <c r="D133" s="3"/>
      <c r="E133" s="3"/>
      <c r="F133" s="4"/>
      <c r="G133" s="4"/>
      <c r="H133" s="3"/>
      <c r="I133" s="4"/>
      <c r="J133" s="4"/>
    </row>
    <row r="134" spans="3:10" x14ac:dyDescent="0.25">
      <c r="C134" s="3"/>
      <c r="D134" s="3"/>
      <c r="E134" s="3"/>
      <c r="F134" s="4"/>
      <c r="G134" s="4"/>
      <c r="H134" s="3"/>
      <c r="I134" s="4"/>
      <c r="J134" s="4"/>
    </row>
    <row r="135" spans="3:10" x14ac:dyDescent="0.25">
      <c r="C135" s="3"/>
      <c r="D135" s="3"/>
      <c r="E135" s="3"/>
      <c r="F135" s="4"/>
      <c r="G135" s="4"/>
      <c r="H135" s="3"/>
      <c r="I135" s="4"/>
      <c r="J135" s="4"/>
    </row>
    <row r="136" spans="3:10" x14ac:dyDescent="0.25">
      <c r="C136" s="3"/>
      <c r="D136" s="3"/>
      <c r="E136" s="3"/>
      <c r="F136" s="4"/>
      <c r="G136" s="4"/>
      <c r="H136" s="3"/>
      <c r="I136" s="4"/>
      <c r="J136" s="4"/>
    </row>
    <row r="137" spans="3:10" x14ac:dyDescent="0.25">
      <c r="C137" s="3"/>
      <c r="D137" s="3"/>
      <c r="E137" s="3"/>
      <c r="F137" s="4"/>
      <c r="G137" s="4"/>
      <c r="H137" s="3"/>
      <c r="I137" s="4"/>
      <c r="J137" s="4"/>
    </row>
    <row r="138" spans="3:10" x14ac:dyDescent="0.25">
      <c r="C138" s="3"/>
      <c r="D138" s="3"/>
      <c r="E138" s="3"/>
      <c r="F138" s="4"/>
      <c r="G138" s="4"/>
      <c r="H138" s="3"/>
      <c r="I138" s="4"/>
      <c r="J138" s="4"/>
    </row>
    <row r="139" spans="3:10" x14ac:dyDescent="0.25">
      <c r="C139" s="3"/>
      <c r="D139" s="3"/>
      <c r="E139" s="3"/>
      <c r="F139" s="4"/>
      <c r="G139" s="4"/>
      <c r="H139" s="3"/>
      <c r="I139" s="4"/>
      <c r="J139" s="4"/>
    </row>
    <row r="140" spans="3:10" x14ac:dyDescent="0.25">
      <c r="C140" s="3"/>
      <c r="D140" s="3"/>
      <c r="E140" s="3"/>
      <c r="F140" s="4"/>
      <c r="G140" s="4"/>
      <c r="H140" s="3"/>
      <c r="I140" s="4"/>
      <c r="J140" s="4"/>
    </row>
    <row r="141" spans="3:10" x14ac:dyDescent="0.25">
      <c r="C141" s="3"/>
      <c r="D141" s="3"/>
      <c r="E141" s="3"/>
      <c r="F141" s="4"/>
      <c r="G141" s="4"/>
      <c r="H141" s="3"/>
      <c r="I141" s="4"/>
      <c r="J141" s="4"/>
    </row>
    <row r="142" spans="3:10" x14ac:dyDescent="0.25">
      <c r="C142" s="3"/>
      <c r="D142" s="3"/>
      <c r="E142" s="3"/>
      <c r="F142" s="4"/>
      <c r="G142" s="4"/>
      <c r="H142" s="3"/>
      <c r="I142" s="4"/>
      <c r="J142" s="4"/>
    </row>
    <row r="143" spans="3:10" x14ac:dyDescent="0.25">
      <c r="C143" s="3"/>
      <c r="D143" s="3"/>
      <c r="E143" s="3"/>
      <c r="F143" s="4"/>
      <c r="G143" s="4"/>
      <c r="H143" s="3"/>
      <c r="I143" s="4"/>
      <c r="J143" s="4"/>
    </row>
    <row r="144" spans="3:10" x14ac:dyDescent="0.25">
      <c r="C144" s="3"/>
      <c r="D144" s="3"/>
      <c r="E144" s="3"/>
      <c r="F144" s="4"/>
      <c r="G144" s="4"/>
      <c r="H144" s="3"/>
      <c r="I144" s="4"/>
      <c r="J144" s="4"/>
    </row>
    <row r="145" spans="3:10" x14ac:dyDescent="0.25">
      <c r="C145" s="3"/>
      <c r="D145" s="3"/>
      <c r="E145" s="3"/>
      <c r="F145" s="4"/>
      <c r="G145" s="4"/>
      <c r="H145" s="3"/>
      <c r="I145" s="4"/>
      <c r="J145" s="4"/>
    </row>
    <row r="146" spans="3:10" x14ac:dyDescent="0.25">
      <c r="C146" s="3"/>
      <c r="D146" s="3"/>
      <c r="E146" s="3"/>
      <c r="F146" s="4"/>
      <c r="G146" s="4"/>
      <c r="H146" s="3"/>
      <c r="I146" s="4"/>
      <c r="J146" s="4"/>
    </row>
    <row r="147" spans="3:10" x14ac:dyDescent="0.25">
      <c r="C147" s="3"/>
      <c r="D147" s="3"/>
      <c r="E147" s="3"/>
      <c r="F147" s="4"/>
      <c r="G147" s="4"/>
      <c r="H147" s="3"/>
      <c r="I147" s="4"/>
      <c r="J147" s="4"/>
    </row>
    <row r="148" spans="3:10" x14ac:dyDescent="0.25">
      <c r="C148" s="3"/>
      <c r="D148" s="3"/>
      <c r="E148" s="3"/>
      <c r="F148" s="4"/>
      <c r="G148" s="4"/>
      <c r="H148" s="3"/>
      <c r="I148" s="4"/>
      <c r="J148" s="4"/>
    </row>
    <row r="149" spans="3:10" x14ac:dyDescent="0.25">
      <c r="C149" s="3"/>
      <c r="D149" s="3"/>
      <c r="E149" s="3"/>
      <c r="F149" s="4"/>
      <c r="G149" s="4"/>
      <c r="H149" s="3"/>
      <c r="I149" s="4"/>
      <c r="J149" s="4"/>
    </row>
    <row r="150" spans="3:10" x14ac:dyDescent="0.25">
      <c r="C150" s="3"/>
      <c r="D150" s="3"/>
      <c r="E150" s="3"/>
      <c r="F150" s="4"/>
      <c r="G150" s="4"/>
      <c r="H150" s="3"/>
      <c r="I150" s="4"/>
      <c r="J150" s="4"/>
    </row>
    <row r="151" spans="3:10" x14ac:dyDescent="0.25">
      <c r="C151" s="3"/>
      <c r="D151" s="3"/>
      <c r="E151" s="3"/>
      <c r="F151" s="4"/>
      <c r="G151" s="4"/>
      <c r="H151" s="3"/>
      <c r="I151" s="4"/>
      <c r="J151" s="4"/>
    </row>
    <row r="152" spans="3:10" x14ac:dyDescent="0.25">
      <c r="C152" s="3"/>
      <c r="D152" s="3"/>
      <c r="E152" s="3"/>
      <c r="F152" s="4"/>
      <c r="G152" s="4"/>
      <c r="H152" s="3"/>
      <c r="I152" s="4"/>
      <c r="J152" s="4"/>
    </row>
    <row r="153" spans="3:10" x14ac:dyDescent="0.25">
      <c r="C153" s="3"/>
      <c r="D153" s="3"/>
      <c r="E153" s="3"/>
      <c r="F153" s="4"/>
      <c r="G153" s="4"/>
      <c r="H153" s="3"/>
      <c r="I153" s="4"/>
      <c r="J153" s="4"/>
    </row>
    <row r="154" spans="3:10" x14ac:dyDescent="0.25">
      <c r="C154" s="3"/>
      <c r="D154" s="3"/>
      <c r="E154" s="3"/>
      <c r="F154" s="4"/>
      <c r="G154" s="4"/>
      <c r="H154" s="3"/>
      <c r="I154" s="4"/>
      <c r="J154" s="4"/>
    </row>
    <row r="155" spans="3:10" x14ac:dyDescent="0.25">
      <c r="C155" s="3"/>
      <c r="D155" s="3"/>
      <c r="E155" s="3"/>
      <c r="F155" s="4"/>
      <c r="G155" s="4"/>
      <c r="H155" s="3"/>
      <c r="I155" s="4"/>
      <c r="J155" s="4"/>
    </row>
    <row r="156" spans="3:10" x14ac:dyDescent="0.25">
      <c r="C156" s="3"/>
      <c r="D156" s="3"/>
      <c r="E156" s="3"/>
      <c r="F156" s="4"/>
      <c r="G156" s="4"/>
      <c r="H156" s="3"/>
      <c r="I156" s="4"/>
      <c r="J156" s="4"/>
    </row>
    <row r="157" spans="3:10" x14ac:dyDescent="0.25">
      <c r="C157" s="3"/>
      <c r="D157" s="3"/>
      <c r="E157" s="3"/>
      <c r="F157" s="4"/>
      <c r="G157" s="4"/>
      <c r="H157" s="3"/>
      <c r="I157" s="4"/>
      <c r="J157" s="4"/>
    </row>
    <row r="158" spans="3:10" x14ac:dyDescent="0.25">
      <c r="C158" s="3"/>
      <c r="D158" s="3"/>
      <c r="E158" s="3"/>
      <c r="F158" s="4"/>
      <c r="G158" s="4"/>
      <c r="H158" s="3"/>
      <c r="I158" s="4"/>
      <c r="J158" s="4"/>
    </row>
    <row r="159" spans="3:10" x14ac:dyDescent="0.25">
      <c r="C159" s="3"/>
      <c r="D159" s="3"/>
      <c r="E159" s="3"/>
      <c r="F159" s="4"/>
      <c r="G159" s="4"/>
      <c r="H159" s="3"/>
      <c r="I159" s="4"/>
      <c r="J159" s="4"/>
    </row>
    <row r="160" spans="3:10" x14ac:dyDescent="0.25">
      <c r="C160" s="3"/>
      <c r="D160" s="3"/>
      <c r="E160" s="3"/>
      <c r="F160" s="4"/>
      <c r="G160" s="4"/>
      <c r="H160" s="3"/>
      <c r="I160" s="4"/>
      <c r="J160" s="4"/>
    </row>
    <row r="161" spans="3:10" x14ac:dyDescent="0.25">
      <c r="C161" s="3"/>
      <c r="D161" s="3"/>
      <c r="E161" s="3"/>
      <c r="F161" s="4"/>
      <c r="G161" s="4"/>
      <c r="H161" s="3"/>
      <c r="I161" s="4"/>
      <c r="J161" s="4"/>
    </row>
    <row r="162" spans="3:10" x14ac:dyDescent="0.25">
      <c r="C162" s="3"/>
      <c r="D162" s="3"/>
      <c r="E162" s="3"/>
      <c r="F162" s="4"/>
      <c r="G162" s="4"/>
      <c r="H162" s="3"/>
      <c r="I162" s="4"/>
      <c r="J162" s="4"/>
    </row>
    <row r="163" spans="3:10" x14ac:dyDescent="0.25">
      <c r="C163" s="3"/>
      <c r="D163" s="3"/>
      <c r="E163" s="3"/>
      <c r="F163" s="4"/>
      <c r="G163" s="4"/>
      <c r="H163" s="3"/>
      <c r="I163" s="4"/>
      <c r="J163" s="4"/>
    </row>
    <row r="164" spans="3:10" x14ac:dyDescent="0.25">
      <c r="C164" s="3"/>
      <c r="D164" s="3"/>
      <c r="E164" s="3"/>
      <c r="F164" s="4"/>
      <c r="G164" s="4"/>
      <c r="H164" s="3"/>
      <c r="I164" s="4"/>
      <c r="J164" s="4"/>
    </row>
    <row r="165" spans="3:10" x14ac:dyDescent="0.25">
      <c r="C165" s="3"/>
      <c r="D165" s="3"/>
      <c r="E165" s="3"/>
      <c r="F165" s="4"/>
      <c r="G165" s="4"/>
      <c r="H165" s="3"/>
      <c r="I165" s="4"/>
      <c r="J165" s="4"/>
    </row>
    <row r="166" spans="3:10" x14ac:dyDescent="0.25">
      <c r="C166" s="3"/>
      <c r="D166" s="3"/>
      <c r="E166" s="3"/>
      <c r="F166" s="4"/>
      <c r="G166" s="4"/>
      <c r="H166" s="3"/>
      <c r="I166" s="4"/>
      <c r="J166" s="4"/>
    </row>
    <row r="167" spans="3:10" x14ac:dyDescent="0.25">
      <c r="C167" s="3"/>
      <c r="D167" s="3"/>
      <c r="E167" s="3"/>
      <c r="F167" s="4"/>
      <c r="G167" s="4"/>
      <c r="H167" s="3"/>
      <c r="I167" s="4"/>
      <c r="J167" s="4"/>
    </row>
    <row r="168" spans="3:10" x14ac:dyDescent="0.25">
      <c r="C168" s="3"/>
      <c r="D168" s="3"/>
      <c r="E168" s="3"/>
      <c r="F168" s="4"/>
      <c r="G168" s="4"/>
      <c r="H168" s="3"/>
      <c r="I168" s="4"/>
      <c r="J168" s="4"/>
    </row>
    <row r="169" spans="3:10" x14ac:dyDescent="0.25">
      <c r="C169" s="3"/>
      <c r="D169" s="3"/>
      <c r="E169" s="3"/>
      <c r="F169" s="4"/>
      <c r="G169" s="4"/>
      <c r="H169" s="3"/>
      <c r="I169" s="4"/>
      <c r="J169" s="4"/>
    </row>
    <row r="170" spans="3:10" x14ac:dyDescent="0.25">
      <c r="C170" s="3"/>
      <c r="D170" s="3"/>
      <c r="E170" s="3"/>
      <c r="F170" s="4"/>
      <c r="G170" s="4"/>
      <c r="H170" s="3"/>
      <c r="I170" s="4"/>
      <c r="J170" s="4"/>
    </row>
    <row r="171" spans="3:10" x14ac:dyDescent="0.25">
      <c r="C171" s="3"/>
      <c r="D171" s="3"/>
      <c r="E171" s="3"/>
      <c r="F171" s="4"/>
      <c r="G171" s="4"/>
      <c r="H171" s="3"/>
      <c r="I171" s="4"/>
      <c r="J171" s="4"/>
    </row>
    <row r="172" spans="3:10" x14ac:dyDescent="0.25">
      <c r="C172" s="3"/>
      <c r="D172" s="3"/>
      <c r="E172" s="3"/>
      <c r="F172" s="4"/>
      <c r="G172" s="4"/>
      <c r="H172" s="3"/>
      <c r="I172" s="4"/>
      <c r="J172" s="4"/>
    </row>
    <row r="173" spans="3:10" x14ac:dyDescent="0.25">
      <c r="C173" s="3"/>
      <c r="D173" s="3"/>
      <c r="E173" s="3"/>
      <c r="F173" s="4"/>
      <c r="G173" s="4"/>
      <c r="H173" s="3"/>
      <c r="I173" s="4"/>
      <c r="J173" s="4"/>
    </row>
    <row r="174" spans="3:10" x14ac:dyDescent="0.25">
      <c r="C174" s="3"/>
      <c r="D174" s="3"/>
      <c r="E174" s="3"/>
      <c r="F174" s="4"/>
      <c r="G174" s="4"/>
      <c r="H174" s="3"/>
      <c r="I174" s="4"/>
      <c r="J174" s="4"/>
    </row>
    <row r="175" spans="3:10" x14ac:dyDescent="0.25">
      <c r="C175" s="3"/>
      <c r="D175" s="3"/>
      <c r="E175" s="3"/>
      <c r="F175" s="4"/>
      <c r="G175" s="4"/>
      <c r="H175" s="3"/>
      <c r="I175" s="4"/>
      <c r="J175" s="4"/>
    </row>
    <row r="176" spans="3:10" x14ac:dyDescent="0.25">
      <c r="C176" s="3"/>
      <c r="D176" s="3"/>
      <c r="E176" s="3"/>
      <c r="F176" s="4"/>
      <c r="G176" s="4"/>
      <c r="H176" s="3"/>
      <c r="I176" s="4"/>
      <c r="J176" s="4"/>
    </row>
    <row r="177" spans="3:10" x14ac:dyDescent="0.25">
      <c r="C177" s="3"/>
      <c r="D177" s="3"/>
      <c r="E177" s="3"/>
      <c r="F177" s="4"/>
      <c r="G177" s="4"/>
      <c r="H177" s="3"/>
      <c r="I177" s="4"/>
      <c r="J177" s="4"/>
    </row>
    <row r="178" spans="3:10" x14ac:dyDescent="0.25">
      <c r="C178" s="3"/>
      <c r="D178" s="3"/>
      <c r="E178" s="3"/>
      <c r="F178" s="4"/>
      <c r="G178" s="4"/>
      <c r="H178" s="3"/>
      <c r="I178" s="4"/>
      <c r="J178" s="4"/>
    </row>
    <row r="179" spans="3:10" x14ac:dyDescent="0.25">
      <c r="C179" s="3"/>
      <c r="D179" s="3"/>
      <c r="E179" s="3"/>
      <c r="F179" s="4"/>
      <c r="G179" s="4"/>
      <c r="H179" s="3"/>
      <c r="I179" s="4"/>
      <c r="J179" s="4"/>
    </row>
    <row r="180" spans="3:10" x14ac:dyDescent="0.25">
      <c r="C180" s="3"/>
      <c r="D180" s="3"/>
      <c r="E180" s="3"/>
      <c r="F180" s="4"/>
      <c r="G180" s="4"/>
      <c r="H180" s="3"/>
      <c r="I180" s="4"/>
      <c r="J180" s="4"/>
    </row>
    <row r="181" spans="3:10" x14ac:dyDescent="0.25">
      <c r="C181" s="3"/>
      <c r="D181" s="3"/>
      <c r="E181" s="3"/>
      <c r="F181" s="4"/>
      <c r="G181" s="4"/>
      <c r="H181" s="3"/>
      <c r="I181" s="4"/>
      <c r="J181" s="4"/>
    </row>
    <row r="182" spans="3:10" x14ac:dyDescent="0.25">
      <c r="C182" s="3"/>
      <c r="D182" s="3"/>
      <c r="E182" s="3"/>
      <c r="F182" s="4"/>
      <c r="G182" s="4"/>
      <c r="H182" s="3"/>
      <c r="I182" s="4"/>
      <c r="J182" s="4"/>
    </row>
    <row r="183" spans="3:10" x14ac:dyDescent="0.25">
      <c r="C183" s="3"/>
      <c r="D183" s="3"/>
      <c r="E183" s="3"/>
      <c r="F183" s="4"/>
      <c r="G183" s="4"/>
      <c r="H183" s="3"/>
      <c r="I183" s="4"/>
      <c r="J183" s="4"/>
    </row>
    <row r="184" spans="3:10" x14ac:dyDescent="0.25">
      <c r="C184" s="3"/>
      <c r="D184" s="3"/>
      <c r="E184" s="3"/>
      <c r="F184" s="4"/>
      <c r="G184" s="4"/>
      <c r="H184" s="3"/>
      <c r="I184" s="4"/>
      <c r="J184" s="4"/>
    </row>
    <row r="185" spans="3:10" x14ac:dyDescent="0.25">
      <c r="C185" s="3"/>
      <c r="D185" s="3"/>
      <c r="E185" s="3"/>
      <c r="F185" s="4"/>
      <c r="G185" s="4"/>
      <c r="H185" s="3"/>
      <c r="I185" s="4"/>
      <c r="J185" s="4"/>
    </row>
    <row r="186" spans="3:10" x14ac:dyDescent="0.25">
      <c r="C186" s="3"/>
      <c r="D186" s="3"/>
      <c r="E186" s="3"/>
      <c r="F186" s="4"/>
      <c r="G186" s="4"/>
      <c r="H186" s="3"/>
      <c r="I186" s="4"/>
      <c r="J186" s="4"/>
    </row>
    <row r="187" spans="3:10" x14ac:dyDescent="0.25">
      <c r="C187" s="3"/>
      <c r="D187" s="3"/>
      <c r="E187" s="3"/>
      <c r="F187" s="4"/>
      <c r="G187" s="4"/>
      <c r="H187" s="3"/>
      <c r="I187" s="4"/>
      <c r="J187" s="4"/>
    </row>
    <row r="188" spans="3:10" x14ac:dyDescent="0.25">
      <c r="C188" s="3"/>
      <c r="D188" s="3"/>
      <c r="E188" s="3"/>
      <c r="F188" s="4"/>
      <c r="G188" s="4"/>
      <c r="H188" s="3"/>
      <c r="I188" s="4"/>
      <c r="J188" s="4"/>
    </row>
    <row r="189" spans="3:10" x14ac:dyDescent="0.25">
      <c r="C189" s="3"/>
      <c r="D189" s="3"/>
      <c r="E189" s="3"/>
      <c r="F189" s="4"/>
      <c r="G189" s="4"/>
      <c r="H189" s="3"/>
      <c r="I189" s="4"/>
      <c r="J189" s="4"/>
    </row>
    <row r="190" spans="3:10" x14ac:dyDescent="0.25">
      <c r="C190" s="3"/>
      <c r="D190" s="3"/>
      <c r="E190" s="3"/>
      <c r="F190" s="4"/>
      <c r="G190" s="4"/>
      <c r="H190" s="3"/>
      <c r="I190" s="4"/>
      <c r="J190" s="4"/>
    </row>
    <row r="191" spans="3:10" x14ac:dyDescent="0.25">
      <c r="C191" s="3"/>
      <c r="D191" s="3"/>
      <c r="E191" s="3"/>
      <c r="F191" s="4"/>
      <c r="G191" s="4"/>
      <c r="H191" s="3"/>
      <c r="I191" s="4"/>
      <c r="J191" s="4"/>
    </row>
    <row r="192" spans="3:10" x14ac:dyDescent="0.25">
      <c r="C192" s="3"/>
      <c r="D192" s="3"/>
      <c r="E192" s="3"/>
      <c r="F192" s="4"/>
      <c r="G192" s="4"/>
      <c r="H192" s="3"/>
      <c r="I192" s="4"/>
      <c r="J192" s="4"/>
    </row>
    <row r="193" spans="3:10" x14ac:dyDescent="0.25">
      <c r="C193" s="3"/>
      <c r="D193" s="3"/>
      <c r="E193" s="3"/>
      <c r="F193" s="4"/>
      <c r="G193" s="4"/>
      <c r="H193" s="3"/>
      <c r="I193" s="4"/>
      <c r="J193" s="4"/>
    </row>
    <row r="194" spans="3:10" x14ac:dyDescent="0.25">
      <c r="C194" s="3"/>
      <c r="D194" s="3"/>
      <c r="E194" s="3"/>
      <c r="F194" s="4"/>
      <c r="G194" s="4"/>
      <c r="H194" s="3"/>
      <c r="I194" s="4"/>
      <c r="J194" s="4"/>
    </row>
    <row r="195" spans="3:10" x14ac:dyDescent="0.25">
      <c r="C195" s="3"/>
      <c r="D195" s="3"/>
      <c r="E195" s="3"/>
      <c r="F195" s="4"/>
      <c r="G195" s="4"/>
      <c r="H195" s="3"/>
      <c r="I195" s="4"/>
      <c r="J195" s="4"/>
    </row>
    <row r="196" spans="3:10" x14ac:dyDescent="0.25">
      <c r="C196" s="3"/>
      <c r="D196" s="3"/>
      <c r="E196" s="3"/>
      <c r="F196" s="4"/>
      <c r="G196" s="4"/>
      <c r="H196" s="3"/>
      <c r="I196" s="4"/>
      <c r="J196" s="4"/>
    </row>
    <row r="197" spans="3:10" x14ac:dyDescent="0.25">
      <c r="C197" s="3"/>
      <c r="D197" s="3"/>
      <c r="E197" s="3"/>
      <c r="F197" s="4"/>
      <c r="G197" s="4"/>
      <c r="H197" s="3"/>
      <c r="I197" s="4"/>
      <c r="J197" s="4"/>
    </row>
    <row r="198" spans="3:10" x14ac:dyDescent="0.25">
      <c r="C198" s="3"/>
      <c r="D198" s="3"/>
      <c r="E198" s="3"/>
      <c r="F198" s="4"/>
      <c r="G198" s="4"/>
      <c r="H198" s="3"/>
      <c r="I198" s="4"/>
      <c r="J198" s="4"/>
    </row>
    <row r="199" spans="3:10" x14ac:dyDescent="0.25">
      <c r="C199" s="3"/>
      <c r="D199" s="3"/>
      <c r="E199" s="3"/>
      <c r="F199" s="4"/>
      <c r="G199" s="4"/>
      <c r="H199" s="3"/>
      <c r="I199" s="4"/>
      <c r="J199" s="4"/>
    </row>
    <row r="200" spans="3:10" x14ac:dyDescent="0.25">
      <c r="C200" s="3"/>
      <c r="D200" s="3"/>
      <c r="E200" s="3"/>
      <c r="F200" s="4"/>
      <c r="G200" s="4"/>
      <c r="H200" s="3"/>
      <c r="I200" s="4"/>
      <c r="J200" s="4"/>
    </row>
    <row r="201" spans="3:10" x14ac:dyDescent="0.25">
      <c r="C201" s="3"/>
      <c r="D201" s="3"/>
      <c r="E201" s="3"/>
      <c r="F201" s="4"/>
      <c r="G201" s="4"/>
      <c r="H201" s="3"/>
      <c r="I201" s="4"/>
      <c r="J201" s="4"/>
    </row>
    <row r="202" spans="3:10" x14ac:dyDescent="0.25">
      <c r="C202" s="3"/>
      <c r="D202" s="3"/>
      <c r="E202" s="3"/>
      <c r="F202" s="4"/>
      <c r="G202" s="4"/>
      <c r="H202" s="3"/>
      <c r="I202" s="4"/>
      <c r="J202" s="4"/>
    </row>
    <row r="203" spans="3:10" x14ac:dyDescent="0.25">
      <c r="C203" s="3"/>
      <c r="D203" s="3"/>
      <c r="E203" s="3"/>
      <c r="F203" s="4"/>
      <c r="G203" s="4"/>
      <c r="H203" s="3"/>
      <c r="I203" s="4"/>
      <c r="J203" s="4"/>
    </row>
    <row r="204" spans="3:10" x14ac:dyDescent="0.25">
      <c r="C204" s="3"/>
      <c r="D204" s="3"/>
      <c r="E204" s="3"/>
      <c r="F204" s="4"/>
      <c r="G204" s="4"/>
      <c r="H204" s="3"/>
      <c r="I204" s="4"/>
      <c r="J204" s="4"/>
    </row>
    <row r="205" spans="3:10" x14ac:dyDescent="0.25">
      <c r="C205" s="3"/>
      <c r="D205" s="3"/>
      <c r="E205" s="3"/>
      <c r="F205" s="4"/>
      <c r="G205" s="4"/>
      <c r="H205" s="3"/>
      <c r="I205" s="4"/>
      <c r="J205" s="4"/>
    </row>
    <row r="206" spans="3:10" x14ac:dyDescent="0.25">
      <c r="C206" s="3"/>
      <c r="D206" s="3"/>
      <c r="E206" s="3"/>
      <c r="F206" s="4"/>
      <c r="G206" s="4"/>
      <c r="H206" s="3"/>
      <c r="I206" s="4"/>
      <c r="J206" s="4"/>
    </row>
    <row r="207" spans="3:10" x14ac:dyDescent="0.25">
      <c r="C207" s="3"/>
      <c r="D207" s="3"/>
      <c r="E207" s="3"/>
      <c r="F207" s="4"/>
      <c r="G207" s="4"/>
      <c r="H207" s="3"/>
      <c r="I207" s="4"/>
      <c r="J207" s="4"/>
    </row>
    <row r="208" spans="3:10" x14ac:dyDescent="0.25">
      <c r="C208" s="3"/>
      <c r="D208" s="3"/>
      <c r="E208" s="3"/>
      <c r="F208" s="4"/>
      <c r="G208" s="4"/>
      <c r="H208" s="3"/>
      <c r="I208" s="4"/>
      <c r="J208" s="4"/>
    </row>
    <row r="209" spans="3:10" x14ac:dyDescent="0.25">
      <c r="C209" s="3"/>
      <c r="D209" s="3"/>
      <c r="E209" s="3"/>
      <c r="F209" s="4"/>
      <c r="G209" s="4"/>
      <c r="H209" s="3"/>
      <c r="I209" s="4"/>
      <c r="J209" s="4"/>
    </row>
    <row r="210" spans="3:10" x14ac:dyDescent="0.25">
      <c r="C210" s="3"/>
      <c r="D210" s="3"/>
      <c r="E210" s="3"/>
      <c r="F210" s="4"/>
      <c r="G210" s="4"/>
      <c r="H210" s="3"/>
      <c r="I210" s="4"/>
      <c r="J210" s="4"/>
    </row>
    <row r="211" spans="3:10" x14ac:dyDescent="0.25">
      <c r="C211" s="3"/>
      <c r="D211" s="3"/>
      <c r="E211" s="3"/>
      <c r="F211" s="4"/>
      <c r="G211" s="4"/>
      <c r="H211" s="3"/>
      <c r="I211" s="4"/>
      <c r="J211" s="4"/>
    </row>
    <row r="212" spans="3:10" x14ac:dyDescent="0.25">
      <c r="C212" s="3"/>
      <c r="D212" s="3"/>
      <c r="E212" s="3"/>
      <c r="F212" s="4"/>
      <c r="G212" s="4"/>
      <c r="H212" s="3"/>
      <c r="I212" s="4"/>
      <c r="J212" s="4"/>
    </row>
    <row r="213" spans="3:10" x14ac:dyDescent="0.25">
      <c r="C213" s="3"/>
      <c r="D213" s="3"/>
      <c r="E213" s="3"/>
      <c r="F213" s="4"/>
      <c r="G213" s="4"/>
      <c r="H213" s="3"/>
      <c r="I213" s="4"/>
      <c r="J213" s="4"/>
    </row>
    <row r="214" spans="3:10" x14ac:dyDescent="0.25">
      <c r="C214" s="3"/>
      <c r="D214" s="3"/>
      <c r="E214" s="3"/>
      <c r="F214" s="4"/>
      <c r="G214" s="4"/>
      <c r="H214" s="3"/>
      <c r="I214" s="4"/>
      <c r="J214" s="4"/>
    </row>
    <row r="215" spans="3:10" x14ac:dyDescent="0.25">
      <c r="C215" s="3"/>
      <c r="D215" s="3"/>
      <c r="E215" s="3"/>
      <c r="F215" s="4"/>
      <c r="G215" s="4"/>
      <c r="H215" s="3"/>
      <c r="I215" s="4"/>
      <c r="J215" s="4"/>
    </row>
    <row r="216" spans="3:10" x14ac:dyDescent="0.25">
      <c r="C216" s="3"/>
      <c r="D216" s="3"/>
      <c r="E216" s="3"/>
      <c r="F216" s="4"/>
      <c r="G216" s="4"/>
      <c r="H216" s="3"/>
      <c r="I216" s="4"/>
      <c r="J216" s="4"/>
    </row>
    <row r="217" spans="3:10" x14ac:dyDescent="0.25">
      <c r="C217" s="3"/>
      <c r="D217" s="3"/>
      <c r="E217" s="3"/>
      <c r="F217" s="4"/>
      <c r="G217" s="4"/>
      <c r="H217" s="3"/>
      <c r="I217" s="4"/>
      <c r="J217" s="4"/>
    </row>
    <row r="218" spans="3:10" x14ac:dyDescent="0.25">
      <c r="C218" s="3"/>
      <c r="D218" s="3"/>
      <c r="E218" s="3"/>
      <c r="F218" s="4"/>
      <c r="G218" s="4"/>
      <c r="H218" s="3"/>
      <c r="I218" s="4"/>
      <c r="J218" s="4"/>
    </row>
    <row r="219" spans="3:10" x14ac:dyDescent="0.25">
      <c r="C219" s="3"/>
      <c r="D219" s="3"/>
      <c r="E219" s="3"/>
      <c r="F219" s="4"/>
      <c r="G219" s="4"/>
      <c r="H219" s="3"/>
      <c r="I219" s="4"/>
      <c r="J219" s="4"/>
    </row>
    <row r="220" spans="3:10" x14ac:dyDescent="0.25">
      <c r="C220" s="3"/>
      <c r="D220" s="3"/>
      <c r="E220" s="3"/>
      <c r="F220" s="4"/>
      <c r="G220" s="4"/>
      <c r="H220" s="3"/>
      <c r="I220" s="4"/>
      <c r="J220" s="4"/>
    </row>
    <row r="221" spans="3:10" x14ac:dyDescent="0.25">
      <c r="C221" s="3"/>
      <c r="D221" s="3"/>
      <c r="E221" s="3"/>
      <c r="F221" s="4"/>
      <c r="G221" s="4"/>
      <c r="H221" s="3"/>
      <c r="I221" s="4"/>
      <c r="J221" s="4"/>
    </row>
    <row r="222" spans="3:10" x14ac:dyDescent="0.25">
      <c r="C222" s="3"/>
      <c r="D222" s="3"/>
      <c r="E222" s="3"/>
      <c r="F222" s="4"/>
      <c r="G222" s="4"/>
      <c r="H222" s="3"/>
      <c r="I222" s="4"/>
      <c r="J222" s="4"/>
    </row>
    <row r="223" spans="3:10" x14ac:dyDescent="0.25">
      <c r="C223" s="3"/>
      <c r="D223" s="3"/>
      <c r="E223" s="3"/>
      <c r="F223" s="4"/>
      <c r="G223" s="4"/>
      <c r="H223" s="3"/>
      <c r="I223" s="4"/>
      <c r="J223" s="4"/>
    </row>
    <row r="224" spans="3:10" x14ac:dyDescent="0.25">
      <c r="C224" s="3"/>
      <c r="D224" s="3"/>
      <c r="E224" s="3"/>
      <c r="F224" s="4"/>
      <c r="G224" s="4"/>
      <c r="H224" s="3"/>
      <c r="I224" s="4"/>
      <c r="J224" s="4"/>
    </row>
    <row r="225" spans="3:10" x14ac:dyDescent="0.25">
      <c r="C225" s="3"/>
      <c r="D225" s="3"/>
      <c r="E225" s="3"/>
      <c r="F225" s="4"/>
      <c r="G225" s="4"/>
      <c r="H225" s="3"/>
      <c r="I225" s="4"/>
      <c r="J225" s="4"/>
    </row>
    <row r="226" spans="3:10" x14ac:dyDescent="0.25">
      <c r="C226" s="3"/>
      <c r="D226" s="3"/>
      <c r="E226" s="3"/>
      <c r="F226" s="4"/>
      <c r="G226" s="4"/>
      <c r="H226" s="3"/>
      <c r="I226" s="4"/>
      <c r="J226" s="4"/>
    </row>
    <row r="227" spans="3:10" x14ac:dyDescent="0.25">
      <c r="C227" s="3"/>
      <c r="D227" s="3"/>
      <c r="E227" s="3"/>
      <c r="F227" s="4"/>
      <c r="G227" s="4"/>
      <c r="H227" s="3"/>
      <c r="I227" s="4"/>
      <c r="J227" s="4"/>
    </row>
    <row r="228" spans="3:10" x14ac:dyDescent="0.25">
      <c r="C228" s="3"/>
      <c r="D228" s="3"/>
      <c r="E228" s="3"/>
      <c r="F228" s="4"/>
      <c r="G228" s="4"/>
      <c r="H228" s="3"/>
      <c r="I228" s="4"/>
      <c r="J228" s="4"/>
    </row>
    <row r="229" spans="3:10" x14ac:dyDescent="0.25">
      <c r="C229" s="3"/>
      <c r="D229" s="3"/>
      <c r="E229" s="3"/>
      <c r="F229" s="4"/>
      <c r="G229" s="4"/>
      <c r="H229" s="3"/>
      <c r="I229" s="4"/>
      <c r="J229" s="4"/>
    </row>
    <row r="230" spans="3:10" x14ac:dyDescent="0.25">
      <c r="C230" s="3"/>
      <c r="D230" s="3"/>
      <c r="E230" s="3"/>
      <c r="F230" s="4"/>
      <c r="G230" s="4"/>
      <c r="H230" s="3"/>
      <c r="I230" s="4"/>
      <c r="J230" s="4"/>
    </row>
    <row r="231" spans="3:10" x14ac:dyDescent="0.25">
      <c r="C231" s="3"/>
      <c r="D231" s="3"/>
      <c r="E231" s="3"/>
      <c r="F231" s="4"/>
      <c r="G231" s="4"/>
      <c r="H231" s="3"/>
      <c r="I231" s="4"/>
      <c r="J231" s="4"/>
    </row>
    <row r="232" spans="3:10" x14ac:dyDescent="0.25">
      <c r="C232" s="3"/>
      <c r="D232" s="3"/>
      <c r="E232" s="3"/>
      <c r="F232" s="4"/>
      <c r="G232" s="4"/>
      <c r="H232" s="3"/>
      <c r="I232" s="4"/>
      <c r="J232" s="4"/>
    </row>
    <row r="233" spans="3:10" x14ac:dyDescent="0.25">
      <c r="C233" s="3"/>
      <c r="D233" s="3"/>
      <c r="E233" s="3"/>
      <c r="F233" s="4"/>
      <c r="G233" s="4"/>
      <c r="H233" s="3"/>
      <c r="I233" s="4"/>
      <c r="J233" s="4"/>
    </row>
    <row r="234" spans="3:10" x14ac:dyDescent="0.25">
      <c r="C234" s="3"/>
      <c r="D234" s="3"/>
      <c r="E234" s="3"/>
      <c r="F234" s="4"/>
      <c r="G234" s="4"/>
      <c r="H234" s="3"/>
      <c r="I234" s="4"/>
      <c r="J234" s="4"/>
    </row>
    <row r="235" spans="3:10" x14ac:dyDescent="0.25">
      <c r="C235" s="3"/>
      <c r="D235" s="3"/>
      <c r="E235" s="3"/>
      <c r="F235" s="4"/>
      <c r="G235" s="4"/>
      <c r="H235" s="3"/>
      <c r="I235" s="4"/>
      <c r="J235" s="4"/>
    </row>
    <row r="236" spans="3:10" x14ac:dyDescent="0.25">
      <c r="C236" s="3"/>
      <c r="D236" s="3"/>
      <c r="E236" s="3"/>
      <c r="F236" s="4"/>
      <c r="G236" s="4"/>
      <c r="H236" s="3"/>
      <c r="I236" s="4"/>
      <c r="J236" s="4"/>
    </row>
    <row r="237" spans="3:10" x14ac:dyDescent="0.25">
      <c r="C237" s="3"/>
      <c r="D237" s="3"/>
      <c r="E237" s="3"/>
      <c r="F237" s="4"/>
      <c r="G237" s="4"/>
      <c r="H237" s="3"/>
      <c r="I237" s="4"/>
      <c r="J237" s="4"/>
    </row>
    <row r="238" spans="3:10" x14ac:dyDescent="0.25">
      <c r="C238" s="3"/>
      <c r="D238" s="3"/>
      <c r="E238" s="3"/>
      <c r="F238" s="4"/>
      <c r="G238" s="4"/>
      <c r="H238" s="3"/>
      <c r="I238" s="4"/>
      <c r="J238" s="4"/>
    </row>
    <row r="239" spans="3:10" x14ac:dyDescent="0.25">
      <c r="C239" s="3"/>
      <c r="D239" s="3"/>
      <c r="E239" s="3"/>
      <c r="F239" s="4"/>
      <c r="G239" s="4"/>
      <c r="H239" s="3"/>
      <c r="I239" s="4"/>
      <c r="J239" s="4"/>
    </row>
    <row r="240" spans="3:10" x14ac:dyDescent="0.25">
      <c r="C240" s="3"/>
      <c r="D240" s="3"/>
      <c r="E240" s="3"/>
      <c r="F240" s="4"/>
      <c r="G240" s="4"/>
      <c r="H240" s="3"/>
      <c r="I240" s="4"/>
      <c r="J240" s="4"/>
    </row>
    <row r="241" spans="3:10" x14ac:dyDescent="0.25">
      <c r="C241" s="3"/>
      <c r="D241" s="3"/>
      <c r="E241" s="3"/>
      <c r="F241" s="4"/>
      <c r="G241" s="4"/>
      <c r="H241" s="3"/>
      <c r="I241" s="4"/>
      <c r="J241" s="4"/>
    </row>
    <row r="242" spans="3:10" x14ac:dyDescent="0.25">
      <c r="C242" s="3"/>
      <c r="D242" s="3"/>
      <c r="E242" s="3"/>
      <c r="F242" s="4"/>
      <c r="G242" s="4"/>
      <c r="H242" s="3"/>
      <c r="I242" s="4"/>
      <c r="J242" s="4"/>
    </row>
    <row r="243" spans="3:10" x14ac:dyDescent="0.25">
      <c r="C243" s="3"/>
      <c r="D243" s="3"/>
      <c r="E243" s="3"/>
      <c r="F243" s="4"/>
      <c r="G243" s="4"/>
      <c r="H243" s="3"/>
      <c r="I243" s="4"/>
      <c r="J243" s="4"/>
    </row>
    <row r="244" spans="3:10" x14ac:dyDescent="0.25">
      <c r="C244" s="3"/>
      <c r="D244" s="3"/>
      <c r="E244" s="3"/>
      <c r="F244" s="4"/>
      <c r="G244" s="4"/>
      <c r="H244" s="3"/>
      <c r="I244" s="4"/>
      <c r="J244" s="4"/>
    </row>
    <row r="245" spans="3:10" x14ac:dyDescent="0.25">
      <c r="C245" s="3"/>
      <c r="D245" s="3"/>
      <c r="E245" s="3"/>
      <c r="F245" s="4"/>
      <c r="G245" s="4"/>
      <c r="H245" s="3"/>
      <c r="I245" s="4"/>
      <c r="J245" s="4"/>
    </row>
    <row r="246" spans="3:10" x14ac:dyDescent="0.25">
      <c r="C246" s="3"/>
      <c r="D246" s="3"/>
      <c r="E246" s="3"/>
      <c r="F246" s="4"/>
      <c r="G246" s="4"/>
      <c r="H246" s="3"/>
      <c r="I246" s="4"/>
      <c r="J246" s="4"/>
    </row>
    <row r="247" spans="3:10" x14ac:dyDescent="0.25">
      <c r="C247" s="3"/>
      <c r="D247" s="3"/>
      <c r="E247" s="3"/>
      <c r="F247" s="4"/>
      <c r="G247" s="4"/>
      <c r="H247" s="3"/>
      <c r="I247" s="4"/>
      <c r="J247" s="4"/>
    </row>
    <row r="248" spans="3:10" x14ac:dyDescent="0.25">
      <c r="C248" s="3"/>
      <c r="D248" s="3"/>
      <c r="E248" s="3"/>
      <c r="F248" s="4"/>
      <c r="G248" s="4"/>
      <c r="H248" s="3"/>
      <c r="I248" s="4"/>
      <c r="J248" s="4"/>
    </row>
    <row r="249" spans="3:10" x14ac:dyDescent="0.25">
      <c r="C249" s="3"/>
      <c r="D249" s="3"/>
      <c r="E249" s="3"/>
      <c r="F249" s="4"/>
      <c r="G249" s="4"/>
      <c r="H249" s="3"/>
      <c r="I249" s="4"/>
      <c r="J249" s="4"/>
    </row>
    <row r="250" spans="3:10" x14ac:dyDescent="0.25">
      <c r="C250" s="3"/>
      <c r="D250" s="3"/>
      <c r="E250" s="3"/>
      <c r="F250" s="4"/>
      <c r="G250" s="4"/>
      <c r="H250" s="3"/>
      <c r="I250" s="4"/>
      <c r="J250" s="4"/>
    </row>
    <row r="251" spans="3:10" x14ac:dyDescent="0.25">
      <c r="C251" s="3"/>
      <c r="D251" s="3"/>
      <c r="E251" s="3"/>
      <c r="F251" s="4"/>
      <c r="G251" s="4"/>
      <c r="H251" s="3"/>
      <c r="I251" s="4"/>
      <c r="J251" s="4"/>
    </row>
    <row r="252" spans="3:10" x14ac:dyDescent="0.25">
      <c r="C252" s="3"/>
      <c r="D252" s="3"/>
      <c r="E252" s="3"/>
      <c r="F252" s="4"/>
      <c r="G252" s="4"/>
      <c r="H252" s="3"/>
      <c r="I252" s="4"/>
      <c r="J252" s="4"/>
    </row>
    <row r="253" spans="3:10" x14ac:dyDescent="0.25">
      <c r="C253" s="3"/>
      <c r="D253" s="3"/>
      <c r="E253" s="3"/>
      <c r="F253" s="4"/>
      <c r="G253" s="4"/>
      <c r="H253" s="3"/>
      <c r="I253" s="4"/>
      <c r="J253" s="4"/>
    </row>
    <row r="254" spans="3:10" x14ac:dyDescent="0.25">
      <c r="C254" s="3"/>
      <c r="D254" s="3"/>
      <c r="E254" s="3"/>
      <c r="F254" s="4"/>
      <c r="G254" s="4"/>
      <c r="H254" s="3"/>
      <c r="I254" s="4"/>
      <c r="J254" s="4"/>
    </row>
    <row r="255" spans="3:10" x14ac:dyDescent="0.25">
      <c r="C255" s="3"/>
      <c r="D255" s="3"/>
      <c r="E255" s="3"/>
      <c r="F255" s="4"/>
      <c r="G255" s="4"/>
      <c r="H255" s="3"/>
      <c r="I255" s="4"/>
      <c r="J255" s="4"/>
    </row>
    <row r="256" spans="3:10" x14ac:dyDescent="0.25">
      <c r="C256" s="3"/>
      <c r="D256" s="3"/>
      <c r="E256" s="3"/>
      <c r="F256" s="4"/>
      <c r="G256" s="4"/>
      <c r="H256" s="3"/>
      <c r="I256" s="4"/>
      <c r="J256" s="4"/>
    </row>
    <row r="257" spans="3:10" x14ac:dyDescent="0.25">
      <c r="C257" s="3"/>
      <c r="D257" s="3"/>
      <c r="E257" s="3"/>
      <c r="F257" s="4"/>
      <c r="G257" s="4"/>
      <c r="H257" s="3"/>
      <c r="I257" s="4"/>
      <c r="J257" s="4"/>
    </row>
    <row r="258" spans="3:10" x14ac:dyDescent="0.25">
      <c r="C258" s="3"/>
      <c r="D258" s="3"/>
      <c r="E258" s="3"/>
      <c r="F258" s="4"/>
      <c r="G258" s="4"/>
      <c r="H258" s="3"/>
      <c r="I258" s="4"/>
      <c r="J258" s="4"/>
    </row>
    <row r="259" spans="3:10" x14ac:dyDescent="0.25">
      <c r="C259" s="3"/>
      <c r="D259" s="3"/>
      <c r="E259" s="3"/>
      <c r="F259" s="4"/>
      <c r="G259" s="4"/>
      <c r="H259" s="3"/>
      <c r="I259" s="4"/>
      <c r="J259" s="4"/>
    </row>
    <row r="260" spans="3:10" x14ac:dyDescent="0.25">
      <c r="C260" s="3"/>
      <c r="D260" s="3"/>
      <c r="E260" s="3"/>
      <c r="F260" s="4"/>
      <c r="G260" s="4"/>
      <c r="H260" s="3"/>
      <c r="I260" s="4"/>
      <c r="J260" s="4"/>
    </row>
    <row r="261" spans="3:10" x14ac:dyDescent="0.25">
      <c r="C261" s="3"/>
      <c r="D261" s="3"/>
      <c r="E261" s="3"/>
      <c r="F261" s="4"/>
      <c r="G261" s="4"/>
      <c r="H261" s="3"/>
      <c r="I261" s="4"/>
      <c r="J261" s="4"/>
    </row>
    <row r="262" spans="3:10" x14ac:dyDescent="0.25">
      <c r="C262" s="3"/>
      <c r="D262" s="3"/>
      <c r="E262" s="3"/>
      <c r="F262" s="4"/>
      <c r="G262" s="4"/>
      <c r="H262" s="3"/>
      <c r="I262" s="4"/>
      <c r="J262" s="4"/>
    </row>
    <row r="263" spans="3:10" x14ac:dyDescent="0.25">
      <c r="C263" s="3"/>
      <c r="D263" s="3"/>
      <c r="E263" s="3"/>
      <c r="F263" s="4"/>
      <c r="G263" s="4"/>
      <c r="H263" s="3"/>
      <c r="I263" s="4"/>
      <c r="J263" s="4"/>
    </row>
    <row r="264" spans="3:10" x14ac:dyDescent="0.25">
      <c r="C264" s="3"/>
      <c r="D264" s="3"/>
      <c r="E264" s="3"/>
      <c r="F264" s="4"/>
      <c r="G264" s="4"/>
      <c r="H264" s="3"/>
      <c r="I264" s="4"/>
      <c r="J264" s="4"/>
    </row>
    <row r="265" spans="3:10" x14ac:dyDescent="0.25">
      <c r="C265" s="3"/>
      <c r="D265" s="3"/>
      <c r="E265" s="3"/>
      <c r="F265" s="4"/>
      <c r="G265" s="4"/>
      <c r="H265" s="3"/>
      <c r="I265" s="4"/>
      <c r="J265" s="4"/>
    </row>
    <row r="266" spans="3:10" x14ac:dyDescent="0.25">
      <c r="C266" s="3"/>
      <c r="D266" s="3"/>
      <c r="E266" s="3"/>
      <c r="F266" s="4"/>
      <c r="G266" s="4"/>
      <c r="H266" s="3"/>
      <c r="I266" s="4"/>
      <c r="J266" s="4"/>
    </row>
    <row r="267" spans="3:10" x14ac:dyDescent="0.25">
      <c r="C267" s="3"/>
      <c r="D267" s="3"/>
      <c r="E267" s="3"/>
      <c r="F267" s="4"/>
      <c r="G267" s="4"/>
      <c r="H267" s="3"/>
      <c r="I267" s="4"/>
      <c r="J267" s="4"/>
    </row>
    <row r="268" spans="3:10" x14ac:dyDescent="0.25">
      <c r="C268" s="3"/>
      <c r="D268" s="3"/>
      <c r="E268" s="3"/>
      <c r="F268" s="4"/>
      <c r="G268" s="4"/>
      <c r="H268" s="3"/>
      <c r="I268" s="4"/>
      <c r="J268" s="4"/>
    </row>
  </sheetData>
  <mergeCells count="5">
    <mergeCell ref="A1:J1"/>
    <mergeCell ref="A85:F85"/>
    <mergeCell ref="A87:J87"/>
    <mergeCell ref="A121:F121"/>
    <mergeCell ref="A124:I1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26.08.26</vt:lpstr>
      <vt:lpstr>27.08.26</vt:lpstr>
      <vt:lpstr>28.08.26</vt:lpstr>
      <vt:lpstr>29.08.26</vt:lpstr>
      <vt:lpstr>30.08.26</vt:lpstr>
      <vt:lpstr>01.09.26</vt:lpstr>
      <vt:lpstr>02.09.26</vt:lpstr>
      <vt:lpstr>03.09.26</vt:lpstr>
      <vt:lpstr>04.09.26</vt:lpstr>
      <vt:lpstr>05.09.26</vt:lpstr>
      <vt:lpstr>06.09.26</vt:lpstr>
      <vt:lpstr>07.09.26</vt:lpstr>
      <vt:lpstr>08.09.26</vt:lpstr>
      <vt:lpstr>09.09.26</vt:lpstr>
      <vt:lpstr>10.09.26</vt:lpstr>
      <vt:lpstr>11.09.26</vt:lpstr>
      <vt:lpstr>12.09.26</vt:lpstr>
      <vt:lpstr>13.09.26</vt:lpstr>
      <vt:lpstr>15.09.26</vt:lpstr>
      <vt:lpstr>16.09.26</vt:lpstr>
      <vt:lpstr>17.09.26</vt:lpstr>
      <vt:lpstr>18.09.26</vt:lpstr>
      <vt:lpstr>19.09.26</vt:lpstr>
      <vt:lpstr>20.09.26</vt:lpstr>
      <vt:lpstr>21.09.26</vt:lpstr>
      <vt:lpstr>22.09.26</vt:lpstr>
      <vt:lpstr>23.09.26</vt:lpstr>
      <vt:lpstr>24.09.26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nurohman</dc:creator>
  <cp:lastModifiedBy>02</cp:lastModifiedBy>
  <dcterms:created xsi:type="dcterms:W3CDTF">2015-06-05T18:17:20Z</dcterms:created>
  <dcterms:modified xsi:type="dcterms:W3CDTF">2026-09-26T03:02:55Z</dcterms:modified>
</cp:coreProperties>
</file>